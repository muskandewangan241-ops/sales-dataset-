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activeTab="1"/>
  </bookViews>
  <sheets>
    <sheet name="Sheet1" sheetId="1" r:id="rId1"/>
    <sheet name="Sheet2" sheetId="2" r:id="rId2"/>
  </sheets>
  <definedNames>
    <definedName name="Slicer_CustomerName">#N/A</definedName>
    <definedName name="Slicer_Location">#N/A</definedName>
  </definedNames>
  <calcPr calcId="144525"/>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1" l="1"/>
  <c r="N4" i="1"/>
  <c r="N5" i="1"/>
  <c r="N6" i="1"/>
  <c r="N7" i="1"/>
  <c r="N8" i="1"/>
  <c r="N9" i="1"/>
  <c r="N10" i="1"/>
  <c r="N2" i="1"/>
</calcChain>
</file>

<file path=xl/sharedStrings.xml><?xml version="1.0" encoding="utf-8"?>
<sst xmlns="http://schemas.openxmlformats.org/spreadsheetml/2006/main" count="651" uniqueCount="159">
  <si>
    <t>OrderID</t>
  </si>
  <si>
    <t>CustomerName</t>
  </si>
  <si>
    <t>Product</t>
  </si>
  <si>
    <t>Category</t>
  </si>
  <si>
    <t>Quantity</t>
  </si>
  <si>
    <t>Price</t>
  </si>
  <si>
    <t>TotalAmount</t>
  </si>
  <si>
    <t>OrderDate</t>
  </si>
  <si>
    <t>Location</t>
  </si>
  <si>
    <t>PaymentMethod</t>
  </si>
  <si>
    <t>ORD0001</t>
  </si>
  <si>
    <t>Noah Thomas</t>
  </si>
  <si>
    <t>Mouse</t>
  </si>
  <si>
    <t>Gadgets</t>
  </si>
  <si>
    <t>New York</t>
  </si>
  <si>
    <t>Bank Transfer</t>
  </si>
  <si>
    <t>ORD0002</t>
  </si>
  <si>
    <t>Sophia Davis</t>
  </si>
  <si>
    <t>Monitor</t>
  </si>
  <si>
    <t>Accessories</t>
  </si>
  <si>
    <t>Los Angeles</t>
  </si>
  <si>
    <t>ORD0003</t>
  </si>
  <si>
    <t>Michael Brown</t>
  </si>
  <si>
    <t>Smartwatch</t>
  </si>
  <si>
    <t>Chicago</t>
  </si>
  <si>
    <t>Cash</t>
  </si>
  <si>
    <t>ORD0004</t>
  </si>
  <si>
    <t>Keyboard</t>
  </si>
  <si>
    <t>Boston</t>
  </si>
  <si>
    <t>Credit Card</t>
  </si>
  <si>
    <t>ORD0005</t>
  </si>
  <si>
    <t>John Smith</t>
  </si>
  <si>
    <t>Smartphone</t>
  </si>
  <si>
    <t>Miami</t>
  </si>
  <si>
    <t>Debit Card</t>
  </si>
  <si>
    <t>ORD0006</t>
  </si>
  <si>
    <t>Camera</t>
  </si>
  <si>
    <t>Office</t>
  </si>
  <si>
    <t>ORD0007</t>
  </si>
  <si>
    <t>Liam Taylor</t>
  </si>
  <si>
    <t>Houston</t>
  </si>
  <si>
    <t>ORD0008</t>
  </si>
  <si>
    <t>James Wilson</t>
  </si>
  <si>
    <t>Laptop</t>
  </si>
  <si>
    <t>Dallas</t>
  </si>
  <si>
    <t>ORD0009</t>
  </si>
  <si>
    <t>Emma Johnson</t>
  </si>
  <si>
    <t>Tablet</t>
  </si>
  <si>
    <t>Electronics</t>
  </si>
  <si>
    <t>San Francisco</t>
  </si>
  <si>
    <t>ORD0010</t>
  </si>
  <si>
    <t>Isabella Moore</t>
  </si>
  <si>
    <t>Phoenix</t>
  </si>
  <si>
    <t>ORD0011</t>
  </si>
  <si>
    <t>ORD0012</t>
  </si>
  <si>
    <t>Headphones</t>
  </si>
  <si>
    <t>PayPal</t>
  </si>
  <si>
    <t>ORD0013</t>
  </si>
  <si>
    <t>ORD0014</t>
  </si>
  <si>
    <t>ORD0015</t>
  </si>
  <si>
    <t>ORD0016</t>
  </si>
  <si>
    <t>ORD0017</t>
  </si>
  <si>
    <t>Printer</t>
  </si>
  <si>
    <t>Seattle</t>
  </si>
  <si>
    <t>ORD0018</t>
  </si>
  <si>
    <t>ORD0019</t>
  </si>
  <si>
    <t>ORD0020</t>
  </si>
  <si>
    <t>Ava Anderson</t>
  </si>
  <si>
    <t>ORD0021</t>
  </si>
  <si>
    <t>ORD0022</t>
  </si>
  <si>
    <t>ORD0023</t>
  </si>
  <si>
    <t>ORD0024</t>
  </si>
  <si>
    <t>ORD0025</t>
  </si>
  <si>
    <t>ORD0026</t>
  </si>
  <si>
    <t>ORD0027</t>
  </si>
  <si>
    <t>Olivia Miller</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</si>
  <si>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</si>
  <si>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</si>
  <si>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</si>
  <si>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</si>
  <si>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</si>
  <si>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</si>
  <si>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</si>
  <si>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</si>
  <si>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</si>
  <si>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</si>
  <si>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</si>
  <si>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</si>
  <si>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</si>
  <si>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</si>
  <si>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</si>
  <si>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</si>
  <si>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</si>
  <si>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</si>
  <si>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</si>
  <si>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</si>
  <si>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</si>
  <si>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</si>
  <si>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</si>
  <si>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</si>
  <si>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</si>
  <si>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</si>
  <si>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</si>
  <si>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</si>
  <si>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</si>
  <si>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</si>
  <si>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</si>
  <si>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</si>
  <si>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</si>
  <si>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</si>
  <si>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</si>
  <si>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</si>
  <si>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</si>
  <si>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</si>
  <si>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</si>
  <si>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</si>
  <si>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</si>
  <si>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</si>
  <si>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</si>
  <si>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</si>
  <si>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</si>
  <si>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</si>
  <si>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</si>
  <si>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</si>
  <si>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</si>
  <si>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</si>
  <si>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</si>
  <si>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</si>
  <si>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</si>
  <si>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</si>
  <si>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</si>
  <si>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</si>
  <si>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</si>
  <si>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</si>
  <si>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</si>
  <si>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</si>
  <si>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</si>
  <si>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</si>
  <si>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</si>
  <si>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</si>
  <si>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</si>
  <si>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</si>
  <si>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</si>
  <si>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</si>
  <si>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</si>
  <si>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</si>
  <si>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</si>
  <si>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</si>
  <si>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</si>
  <si>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vlookup for filtering the following things</t>
  </si>
  <si>
    <t>Row Labels</t>
  </si>
  <si>
    <t>Grand Total</t>
  </si>
  <si>
    <t>Sum of TotalAmount</t>
  </si>
  <si>
    <t>Column Labels</t>
  </si>
  <si>
    <t>(All)</t>
  </si>
  <si>
    <t>Accessories Total</t>
  </si>
  <si>
    <t>Electronics Total</t>
  </si>
  <si>
    <t>Gadgets Total</t>
  </si>
  <si>
    <t>Office 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</si>
</sst>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theme="9"/>
      <name val="Calibri"/>
      <family val="2"/>
      <scheme val="minor"/>
    </font>
  </fonts>
  <fills count="4">
    <fill>
      <patternFill patternType="none"/>
    </fill>
    <fill>
      <patternFill patternType="gray125"/>
    </fill>
    <fill>
      <patternFill patternType="solid">
        <fgColor theme="4"/>
        <bgColor theme="4"/>
      </patternFill>
    </fill>
    <fill>
      <patternFill patternType="solid">
        <fgColor theme="0"/>
        <bgColor theme="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2" borderId="1" xfId="0" applyFont="1" applyFill="1" applyBorder="1" applyAlignment="1">
      <alignment horizontal="center" vertical="top"/>
    </xf>
    <xf numFmtId="0" fontId="2" fillId="0" borderId="2" xfId="0" applyFont="1" applyBorder="1" applyAlignment="1">
      <alignment horizontal="center" vertical="top"/>
    </xf>
    <xf numFmtId="0" fontId="0" fillId="0" borderId="0" xfId="0" applyAlignment="1">
      <alignment horizontal="center"/>
    </xf>
    <xf numFmtId="0" fontId="0" fillId="0" borderId="0" xfId="0" applyAlignment="1">
      <alignment horizontal="center" vertical="center"/>
    </xf>
    <xf numFmtId="0" fontId="1" fillId="3" borderId="0" xfId="0" applyFont="1" applyFill="1" applyBorder="1" applyAlignment="1">
      <alignment horizontal="center" vertical="top"/>
    </xf>
    <xf numFmtId="0" fontId="3" fillId="0" borderId="0" xfId="0" applyFont="1"/>
    <xf numFmtId="0" fontId="0" fillId="0" borderId="0"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7">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sales dataset.xlsx]Sheet2!PivotTable1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pivotFmt>
      <c:pivotFmt>
        <c:idx val="27"/>
        <c:marker>
          <c:symbol val="none"/>
        </c:marker>
      </c:pivotFmt>
      <c:pivotFmt>
        <c:idx val="28"/>
        <c:marker>
          <c:symbol val="none"/>
        </c:marker>
      </c:pivotFmt>
      <c:pivotFmt>
        <c:idx val="29"/>
        <c:marker>
          <c:symbol val="none"/>
        </c:marker>
      </c:pivotFmt>
      <c:pivotFmt>
        <c:idx val="30"/>
        <c:marker>
          <c:symbol val="none"/>
        </c:marker>
      </c:pivotFmt>
      <c:pivotFmt>
        <c:idx val="31"/>
        <c:marker>
          <c:symbol val="none"/>
        </c:marker>
      </c:pivotFmt>
      <c:pivotFmt>
        <c:idx val="32"/>
        <c:marker>
          <c:symbol val="none"/>
        </c:marker>
      </c:pivotFmt>
      <c:pivotFmt>
        <c:idx val="33"/>
        <c:marker>
          <c:symbol val="none"/>
        </c:marker>
      </c:pivotFmt>
      <c:pivotFmt>
        <c:idx val="34"/>
        <c:marker>
          <c:symbol val="none"/>
        </c:marker>
      </c:pivotFmt>
      <c:pivotFmt>
        <c:idx val="35"/>
        <c:marker>
          <c:symbol val="none"/>
        </c:marker>
      </c:pivotFmt>
      <c:pivotFmt>
        <c:idx val="36"/>
        <c:marker>
          <c:symbol val="none"/>
        </c:marker>
      </c:pivotFmt>
      <c:pivotFmt>
        <c:idx val="37"/>
        <c:marker>
          <c:symbol val="none"/>
        </c:marker>
      </c:pivotFmt>
      <c:pivotFmt>
        <c:idx val="38"/>
        <c:marker>
          <c:symbol val="none"/>
        </c:marker>
      </c:pivotFmt>
      <c:pivotFmt>
        <c:idx val="39"/>
        <c:marker>
          <c:symbol val="none"/>
        </c:marker>
      </c:pivotFmt>
      <c:pivotFmt>
        <c:idx val="40"/>
        <c:marker>
          <c:symbol val="none"/>
        </c:marker>
      </c:pivotFmt>
      <c:pivotFmt>
        <c:idx val="41"/>
        <c:marker>
          <c:symbol val="none"/>
        </c:marker>
      </c:pivotFmt>
      <c:pivotFmt>
        <c:idx val="42"/>
        <c:marker>
          <c:symbol val="none"/>
        </c:marker>
      </c:pivotFmt>
      <c:pivotFmt>
        <c:idx val="43"/>
        <c:marker>
          <c:symbol val="none"/>
        </c:marker>
      </c:pivotFmt>
      <c:pivotFmt>
        <c:idx val="44"/>
        <c:marker>
          <c:symbol val="none"/>
        </c:marker>
      </c:pivotFmt>
      <c:pivotFmt>
        <c:idx val="45"/>
        <c:marker>
          <c:symbol val="none"/>
        </c:marker>
      </c:pivotFmt>
      <c:pivotFmt>
        <c:idx val="46"/>
        <c:marker>
          <c:symbol val="none"/>
        </c:marker>
      </c:pivotFmt>
      <c:pivotFmt>
        <c:idx val="47"/>
        <c:marker>
          <c:symbol val="none"/>
        </c:marker>
      </c:pivotFmt>
      <c:pivotFmt>
        <c:idx val="48"/>
        <c:marker>
          <c:symbol val="none"/>
        </c:marker>
      </c:pivotFmt>
      <c:pivotFmt>
        <c:idx val="49"/>
        <c:marker>
          <c:symbol val="none"/>
        </c:marker>
      </c:pivotFmt>
      <c:pivotFmt>
        <c:idx val="50"/>
        <c:marker>
          <c:symbol val="none"/>
        </c:marker>
      </c:pivotFmt>
      <c:pivotFmt>
        <c:idx val="51"/>
        <c:marker>
          <c:symbol val="none"/>
        </c:marker>
      </c:pivotFmt>
      <c:pivotFmt>
        <c:idx val="52"/>
        <c:marker>
          <c:symbol val="none"/>
        </c:marker>
      </c:pivotFmt>
      <c:pivotFmt>
        <c:idx val="53"/>
        <c:marker>
          <c:symbol val="none"/>
        </c:marker>
      </c:pivotFmt>
      <c:pivotFmt>
        <c:idx val="54"/>
        <c:marker>
          <c:symbol val="none"/>
        </c:marker>
      </c:pivotFmt>
      <c:pivotFmt>
        <c:idx val="55"/>
        <c:marker>
          <c:symbol val="none"/>
        </c:marker>
      </c:pivotFmt>
      <c:pivotFmt>
        <c:idx val="56"/>
        <c:marker>
          <c:symbol val="none"/>
        </c:marker>
      </c:pivotFmt>
      <c:pivotFmt>
        <c:idx val="57"/>
        <c:marker>
          <c:symbol val="none"/>
        </c:marker>
      </c:pivotFmt>
      <c:pivotFmt>
        <c:idx val="58"/>
        <c:marker>
          <c:symbol val="none"/>
        </c:marker>
      </c:pivotFmt>
      <c:pivotFmt>
        <c:idx val="59"/>
        <c:marker>
          <c:symbol val="none"/>
        </c:marker>
      </c:pivotFmt>
      <c:pivotFmt>
        <c:idx val="60"/>
        <c:marker>
          <c:symbol val="none"/>
        </c:marker>
      </c:pivotFmt>
      <c:pivotFmt>
        <c:idx val="61"/>
        <c:marker>
          <c:symbol val="none"/>
        </c:marker>
      </c:pivotFmt>
    </c:pivotFmts>
    <c:plotArea>
      <c:layout/>
      <c:barChart>
        <c:barDir val="col"/>
        <c:grouping val="clustered"/>
        <c:varyColors val="0"/>
        <c:ser>
          <c:idx val="0"/>
          <c:order val="0"/>
          <c:tx>
            <c:strRef>
              <c:f>Sheet2!$B$5:$B$7</c:f>
              <c:strCache>
                <c:ptCount val="1"/>
                <c:pt idx="0">
                  <c:v>Accessories - Smartphone</c:v>
                </c:pt>
              </c:strCache>
            </c:strRef>
          </c:tx>
          <c:invertIfNegative val="0"/>
          <c:cat>
            <c:strRef>
              <c:f>Sheet2!$A$8:$A$13</c:f>
              <c:strCache>
                <c:ptCount val="5"/>
                <c:pt idx="0">
                  <c:v>Emma Johnson</c:v>
                </c:pt>
                <c:pt idx="1">
                  <c:v>Isabella Moore</c:v>
                </c:pt>
                <c:pt idx="2">
                  <c:v>Liam Taylor</c:v>
                </c:pt>
                <c:pt idx="3">
                  <c:v>Noah Thomas</c:v>
                </c:pt>
                <c:pt idx="4">
                  <c:v>Olivia Miller</c:v>
                </c:pt>
              </c:strCache>
            </c:strRef>
          </c:cat>
          <c:val>
            <c:numRef>
              <c:f>Sheet2!$B$8:$B$13</c:f>
              <c:numCache>
                <c:formatCode>General</c:formatCode>
                <c:ptCount val="5"/>
                <c:pt idx="1">
                  <c:v>1448.2</c:v>
                </c:pt>
              </c:numCache>
            </c:numRef>
          </c:val>
        </c:ser>
        <c:ser>
          <c:idx val="1"/>
          <c:order val="1"/>
          <c:tx>
            <c:strRef>
              <c:f>Sheet2!$D$5:$D$7</c:f>
              <c:strCache>
                <c:ptCount val="1"/>
                <c:pt idx="0">
                  <c:v>Electronics - Smartphone</c:v>
                </c:pt>
              </c:strCache>
            </c:strRef>
          </c:tx>
          <c:invertIfNegative val="0"/>
          <c:cat>
            <c:strRef>
              <c:f>Sheet2!$A$8:$A$13</c:f>
              <c:strCache>
                <c:ptCount val="5"/>
                <c:pt idx="0">
                  <c:v>Emma Johnson</c:v>
                </c:pt>
                <c:pt idx="1">
                  <c:v>Isabella Moore</c:v>
                </c:pt>
                <c:pt idx="2">
                  <c:v>Liam Taylor</c:v>
                </c:pt>
                <c:pt idx="3">
                  <c:v>Noah Thomas</c:v>
                </c:pt>
                <c:pt idx="4">
                  <c:v>Olivia Miller</c:v>
                </c:pt>
              </c:strCache>
            </c:strRef>
          </c:cat>
          <c:val>
            <c:numRef>
              <c:f>Sheet2!$D$8:$D$13</c:f>
              <c:numCache>
                <c:formatCode>General</c:formatCode>
                <c:ptCount val="5"/>
                <c:pt idx="4">
                  <c:v>3705.26</c:v>
                </c:pt>
              </c:numCache>
            </c:numRef>
          </c:val>
        </c:ser>
        <c:ser>
          <c:idx val="2"/>
          <c:order val="2"/>
          <c:tx>
            <c:strRef>
              <c:f>Sheet2!$F$5:$F$7</c:f>
              <c:strCache>
                <c:ptCount val="1"/>
                <c:pt idx="0">
                  <c:v>Gadgets - Printer</c:v>
                </c:pt>
              </c:strCache>
            </c:strRef>
          </c:tx>
          <c:invertIfNegative val="0"/>
          <c:cat>
            <c:strRef>
              <c:f>Sheet2!$A$8:$A$13</c:f>
              <c:strCache>
                <c:ptCount val="5"/>
                <c:pt idx="0">
                  <c:v>Emma Johnson</c:v>
                </c:pt>
                <c:pt idx="1">
                  <c:v>Isabella Moore</c:v>
                </c:pt>
                <c:pt idx="2">
                  <c:v>Liam Taylor</c:v>
                </c:pt>
                <c:pt idx="3">
                  <c:v>Noah Thomas</c:v>
                </c:pt>
                <c:pt idx="4">
                  <c:v>Olivia Miller</c:v>
                </c:pt>
              </c:strCache>
            </c:strRef>
          </c:cat>
          <c:val>
            <c:numRef>
              <c:f>Sheet2!$F$8:$F$13</c:f>
              <c:numCache>
                <c:formatCode>General</c:formatCode>
                <c:ptCount val="5"/>
                <c:pt idx="2">
                  <c:v>4382.04</c:v>
                </c:pt>
              </c:numCache>
            </c:numRef>
          </c:val>
        </c:ser>
        <c:ser>
          <c:idx val="3"/>
          <c:order val="3"/>
          <c:tx>
            <c:strRef>
              <c:f>Sheet2!$G$5:$G$7</c:f>
              <c:strCache>
                <c:ptCount val="1"/>
                <c:pt idx="0">
                  <c:v>Gadgets - Smartphone</c:v>
                </c:pt>
              </c:strCache>
            </c:strRef>
          </c:tx>
          <c:invertIfNegative val="0"/>
          <c:cat>
            <c:strRef>
              <c:f>Sheet2!$A$8:$A$13</c:f>
              <c:strCache>
                <c:ptCount val="5"/>
                <c:pt idx="0">
                  <c:v>Emma Johnson</c:v>
                </c:pt>
                <c:pt idx="1">
                  <c:v>Isabella Moore</c:v>
                </c:pt>
                <c:pt idx="2">
                  <c:v>Liam Taylor</c:v>
                </c:pt>
                <c:pt idx="3">
                  <c:v>Noah Thomas</c:v>
                </c:pt>
                <c:pt idx="4">
                  <c:v>Olivia Miller</c:v>
                </c:pt>
              </c:strCache>
            </c:strRef>
          </c:cat>
          <c:val>
            <c:numRef>
              <c:f>Sheet2!$G$8:$G$13</c:f>
              <c:numCache>
                <c:formatCode>General</c:formatCode>
                <c:ptCount val="5"/>
                <c:pt idx="3">
                  <c:v>3009.92</c:v>
                </c:pt>
              </c:numCache>
            </c:numRef>
          </c:val>
        </c:ser>
        <c:ser>
          <c:idx val="4"/>
          <c:order val="4"/>
          <c:tx>
            <c:strRef>
              <c:f>Sheet2!$I$5:$I$7</c:f>
              <c:strCache>
                <c:ptCount val="1"/>
                <c:pt idx="0">
                  <c:v>Office - Headphones</c:v>
                </c:pt>
              </c:strCache>
            </c:strRef>
          </c:tx>
          <c:invertIfNegative val="0"/>
          <c:cat>
            <c:strRef>
              <c:f>Sheet2!$A$8:$A$13</c:f>
              <c:strCache>
                <c:ptCount val="5"/>
                <c:pt idx="0">
                  <c:v>Emma Johnson</c:v>
                </c:pt>
                <c:pt idx="1">
                  <c:v>Isabella Moore</c:v>
                </c:pt>
                <c:pt idx="2">
                  <c:v>Liam Taylor</c:v>
                </c:pt>
                <c:pt idx="3">
                  <c:v>Noah Thomas</c:v>
                </c:pt>
                <c:pt idx="4">
                  <c:v>Olivia Miller</c:v>
                </c:pt>
              </c:strCache>
            </c:strRef>
          </c:cat>
          <c:val>
            <c:numRef>
              <c:f>Sheet2!$I$8:$I$13</c:f>
              <c:numCache>
                <c:formatCode>General</c:formatCode>
                <c:ptCount val="5"/>
                <c:pt idx="0">
                  <c:v>6907.8</c:v>
                </c:pt>
              </c:numCache>
            </c:numRef>
          </c:val>
        </c:ser>
        <c:dLbls>
          <c:showLegendKey val="0"/>
          <c:showVal val="0"/>
          <c:showCatName val="0"/>
          <c:showSerName val="0"/>
          <c:showPercent val="0"/>
          <c:showBubbleSize val="0"/>
        </c:dLbls>
        <c:gapWidth val="150"/>
        <c:axId val="244789248"/>
        <c:axId val="244790784"/>
      </c:barChart>
      <c:catAx>
        <c:axId val="244789248"/>
        <c:scaling>
          <c:orientation val="minMax"/>
        </c:scaling>
        <c:delete val="0"/>
        <c:axPos val="b"/>
        <c:majorTickMark val="out"/>
        <c:minorTickMark val="none"/>
        <c:tickLblPos val="nextTo"/>
        <c:crossAx val="244790784"/>
        <c:crosses val="autoZero"/>
        <c:auto val="1"/>
        <c:lblAlgn val="ctr"/>
        <c:lblOffset val="100"/>
        <c:noMultiLvlLbl val="0"/>
      </c:catAx>
      <c:valAx>
        <c:axId val="244790784"/>
        <c:scaling>
          <c:orientation val="minMax"/>
        </c:scaling>
        <c:delete val="0"/>
        <c:axPos val="l"/>
        <c:majorGridlines/>
        <c:numFmt formatCode="General" sourceLinked="1"/>
        <c:majorTickMark val="out"/>
        <c:minorTickMark val="none"/>
        <c:tickLblPos val="nextTo"/>
        <c:crossAx val="2447892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259080</xdr:colOff>
      <xdr:row>18</xdr:row>
      <xdr:rowOff>160020</xdr:rowOff>
    </xdr:from>
    <xdr:to>
      <xdr:col>6</xdr:col>
      <xdr:colOff>548640</xdr:colOff>
      <xdr:row>33</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53340</xdr:colOff>
      <xdr:row>18</xdr:row>
      <xdr:rowOff>167640</xdr:rowOff>
    </xdr:from>
    <xdr:to>
      <xdr:col>9</xdr:col>
      <xdr:colOff>236220</xdr:colOff>
      <xdr:row>32</xdr:row>
      <xdr:rowOff>74295</xdr:rowOff>
    </xdr:to>
    <mc:AlternateContent xmlns:mc="http://schemas.openxmlformats.org/markup-compatibility/2006">
      <mc:Choice xmlns:a14="http://schemas.microsoft.com/office/drawing/2010/main" Requires="a14">
        <xdr:graphicFrame macro="">
          <xdr:nvGraphicFramePr>
            <xdr:cNvPr id="9" name="CustomerName"/>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6751320" y="3459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xdr:colOff>
      <xdr:row>18</xdr:row>
      <xdr:rowOff>144780</xdr:rowOff>
    </xdr:from>
    <xdr:to>
      <xdr:col>12</xdr:col>
      <xdr:colOff>419100</xdr:colOff>
      <xdr:row>32</xdr:row>
      <xdr:rowOff>51435</xdr:rowOff>
    </xdr:to>
    <mc:AlternateContent xmlns:mc="http://schemas.openxmlformats.org/markup-compatibility/2006">
      <mc:Choice xmlns:a14="http://schemas.microsoft.com/office/drawing/2010/main" Requires="a14">
        <xdr:graphicFrame macro="">
          <xdr:nvGraphicFramePr>
            <xdr:cNvPr id="3"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9144000" y="3436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URNIMA DEWANGAN" refreshedDate="46069.746971875" createdVersion="4" refreshedVersion="4" minRefreshableVersion="3" recordCount="100">
  <cacheSource type="worksheet">
    <worksheetSource name="Table1"/>
  </cacheSource>
  <cacheFields count="10">
    <cacheField name="Order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CustomerName" numFmtId="0">
      <sharedItems count="10">
        <s v="Noah Thomas"/>
        <s v="Sophia Davis"/>
        <s v="Michael Brown"/>
        <s v="John Smith"/>
        <s v="Liam Taylor"/>
        <s v="James Wilson"/>
        <s v="Emma Johnson"/>
        <s v="Isabella Moore"/>
        <s v="Ava Anderson"/>
        <s v="Olivia Miller"/>
      </sharedItems>
    </cacheField>
    <cacheField name="Product" numFmtId="0">
      <sharedItems count="10">
        <s v="Mouse"/>
        <s v="Monitor"/>
        <s v="Smartwatch"/>
        <s v="Keyboard"/>
        <s v="Smartphone"/>
        <s v="Camera"/>
        <s v="Laptop"/>
        <s v="Tablet"/>
        <s v="Headphones"/>
        <s v="Printer"/>
      </sharedItems>
    </cacheField>
    <cacheField name="Category" numFmtId="0">
      <sharedItems count="4">
        <s v="Gadgets"/>
        <s v="Accessories"/>
        <s v="Office"/>
        <s v="Electronics"/>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95.13" maxValue="1971.69" count="100">
        <n v="699.14"/>
        <n v="1776.72"/>
        <n v="1386.67"/>
        <n v="1764.23"/>
        <n v="208.17"/>
        <n v="430.76"/>
        <n v="1536.92"/>
        <n v="1074.24"/>
        <n v="826.56"/>
        <n v="1962.32"/>
        <n v="180.9"/>
        <n v="1212.1199999999999"/>
        <n v="1640.05"/>
        <n v="661.68"/>
        <n v="108.47"/>
        <n v="1946.38"/>
        <n v="1460.68"/>
        <n v="1026.25"/>
        <n v="1789.63"/>
        <n v="1853.58"/>
        <n v="1027.02"/>
        <n v="1822.09"/>
        <n v="1335.44"/>
        <n v="509.36"/>
        <n v="311.7"/>
        <n v="217.83"/>
        <n v="1852.63"/>
        <n v="848.43"/>
        <n v="95.13"/>
        <n v="757.46"/>
        <n v="1735.35"/>
        <n v="465"/>
        <n v="1917.44"/>
        <n v="759.18"/>
        <n v="1971.69"/>
        <n v="909.81"/>
        <n v="1755.62"/>
        <n v="1671.48"/>
        <n v="417.63"/>
        <n v="654.05999999999995"/>
        <n v="1293.75"/>
        <n v="1542.85"/>
        <n v="813.42"/>
        <n v="242.19"/>
        <n v="1813.23"/>
        <n v="703.89"/>
        <n v="1639.76"/>
        <n v="1938.5"/>
        <n v="817.24"/>
        <n v="315.54000000000002"/>
        <n v="1531.31"/>
        <n v="723.96"/>
        <n v="1762.01"/>
        <n v="1445.02"/>
        <n v="752.48"/>
        <n v="465.12"/>
        <n v="1883.48"/>
        <n v="390.1"/>
        <n v="513.95000000000005"/>
        <n v="1039.69"/>
        <n v="724.1"/>
        <n v="852.19"/>
        <n v="311.83"/>
        <n v="1726.95"/>
        <n v="788.09"/>
        <n v="1873.08"/>
        <n v="1410.85"/>
        <n v="1162.6099999999999"/>
        <n v="1719.03"/>
        <n v="1752.37"/>
        <n v="266.83999999999997"/>
        <n v="1536.93"/>
        <n v="916.24"/>
        <n v="1544.8"/>
        <n v="212.43"/>
        <n v="856.05"/>
        <n v="296.07"/>
        <n v="612.96"/>
        <n v="1822.12"/>
        <n v="987.86"/>
        <n v="897.37"/>
        <n v="105.47"/>
        <n v="1573.04"/>
        <n v="1396.33"/>
        <n v="931.9"/>
        <n v="113.16"/>
        <n v="1565.58"/>
        <n v="1922.13"/>
        <n v="778.25"/>
        <n v="1587.63"/>
        <n v="648.5"/>
        <n v="1404.77"/>
        <n v="1128.8"/>
        <n v="1175.95"/>
        <n v="1381.3"/>
        <n v="671.78"/>
        <n v="394.11"/>
        <n v="772.37"/>
        <n v="1263.1500000000001"/>
        <n v="1552.86"/>
      </sharedItems>
    </cacheField>
    <cacheField name="TotalAmount" numFmtId="0">
      <sharedItems containsSemiMixedTypes="0" containsString="0" containsNumber="1" minValue="108.47" maxValue="9610.65" count="100">
        <n v="2097.42"/>
        <n v="7106.88"/>
        <n v="2773.34"/>
        <n v="1764.23"/>
        <n v="624.51"/>
        <n v="861.52"/>
        <n v="7684.6"/>
        <n v="3222.72"/>
        <n v="4132.8"/>
        <n v="7849.28"/>
        <n v="542.70000000000005"/>
        <n v="1212.1199999999999"/>
        <n v="8200.25"/>
        <n v="2646.72"/>
        <n v="108.47"/>
        <n v="1946.38"/>
        <n v="4382.04"/>
        <n v="1026.25"/>
        <n v="5368.89"/>
        <n v="1853.58"/>
        <n v="5135.1000000000004"/>
        <n v="7288.36"/>
        <n v="6677.2"/>
        <n v="1018.72"/>
        <n v="1246.8"/>
        <n v="435.66"/>
        <n v="3705.26"/>
        <n v="2545.29"/>
        <n v="285.39"/>
        <n v="3029.84"/>
        <n v="1735.35"/>
        <n v="465"/>
        <n v="3834.88"/>
        <n v="2277.54"/>
        <n v="3943.38"/>
        <n v="909.81"/>
        <n v="5266.86"/>
        <n v="1671.48"/>
        <n v="835.26"/>
        <n v="654.05999999999995"/>
        <n v="3881.25"/>
        <n v="7714.25"/>
        <n v="3253.68"/>
        <n v="242.19"/>
        <n v="9066.15"/>
        <n v="1407.78"/>
        <n v="8198.7999999999993"/>
        <n v="3877"/>
        <n v="817.24"/>
        <n v="315.54000000000002"/>
        <n v="6125.24"/>
        <n v="2171.88"/>
        <n v="8810.0499999999993"/>
        <n v="1445.02"/>
        <n v="3009.92"/>
        <n v="2325.6"/>
        <n v="1883.48"/>
        <n v="1560.4"/>
        <n v="2055.8000000000002"/>
        <n v="3119.07"/>
        <n v="1448.2"/>
        <n v="852.19"/>
        <n v="1247.32"/>
        <n v="6907.8"/>
        <n v="1576.18"/>
        <n v="1873.08"/>
        <n v="7054.25"/>
        <n v="5813.05"/>
        <n v="5157.09"/>
        <n v="8761.85"/>
        <n v="266.83999999999997"/>
        <n v="1536.93"/>
        <n v="1832.48"/>
        <n v="6179.2"/>
        <n v="424.86"/>
        <n v="856.05"/>
        <n v="1480.35"/>
        <n v="3064.8"/>
        <n v="5466.36"/>
        <n v="987.86"/>
        <n v="897.37"/>
        <n v="210.94"/>
        <n v="4719.12"/>
        <n v="4188.99"/>
        <n v="1863.8"/>
        <n v="339.48"/>
        <n v="3131.16"/>
        <n v="9610.65"/>
        <n v="778.25"/>
        <n v="1587.63"/>
        <n v="3242.5"/>
        <n v="1404.77"/>
        <n v="2257.6"/>
        <n v="2351.9"/>
        <n v="6906.5"/>
        <n v="1343.56"/>
        <n v="788.22"/>
        <n v="3861.85"/>
        <n v="1263.1500000000001"/>
        <n v="1552.86"/>
      </sharedItems>
    </cacheField>
    <cacheField name="OrderDate" numFmtId="164">
      <sharedItems containsSemiMixedTypes="0" containsNonDate="0" containsDate="1" containsString="0" minDate="2023-01-01T00:00:00" maxDate="2023-12-30T00:00:00" count="89">
        <d v="2023-09-16T00:00:00"/>
        <d v="2023-06-13T00:00:00"/>
        <d v="2023-08-05T00:00:00"/>
        <d v="2023-10-22T00:00:00"/>
        <d v="2023-09-21T00:00:00"/>
        <d v="2023-06-06T00:00:00"/>
        <d v="2023-08-08T00:00:00"/>
        <d v="2023-03-08T00:00:00"/>
        <d v="2023-02-09T00:00:00"/>
        <d v="2023-04-25T00:00:00"/>
        <d v="2023-09-28T00:00:00"/>
        <d v="2023-11-20T00:00:00"/>
        <d v="2023-02-17T00:00:00"/>
        <d v="2023-08-16T00:00:00"/>
        <d v="2023-04-27T00:00:00"/>
        <d v="2023-10-08T00:00:00"/>
        <d v="2023-04-07T00:00:00"/>
        <d v="2023-10-18T00:00:00"/>
        <d v="2023-12-18T00:00:00"/>
        <d v="2023-07-28T00:00:00"/>
        <d v="2023-03-09T00:00:00"/>
        <d v="2023-09-19T00:00:00"/>
        <d v="2023-11-24T00:00:00"/>
        <d v="2023-08-28T00:00:00"/>
        <d v="2023-11-08T00:00:00"/>
        <d v="2023-06-08T00:00:00"/>
        <d v="2023-05-04T00:00:00"/>
        <d v="2023-12-11T00:00:00"/>
        <d v="2023-03-31T00:00:00"/>
        <d v="2023-04-15T00:00:00"/>
        <d v="2023-12-29T00:00:00"/>
        <d v="2023-01-01T00:00:00"/>
        <d v="2023-11-23T00:00:00"/>
        <d v="2023-07-22T00:00:00"/>
        <d v="2023-05-28T00:00:00"/>
        <d v="2023-01-07T00:00:00"/>
        <d v="2023-03-30T00:00:00"/>
        <d v="2023-04-01T00:00:00"/>
        <d v="2023-11-29T00:00:00"/>
        <d v="2023-10-14T00:00:00"/>
        <d v="2023-11-14T00:00:00"/>
        <d v="2023-01-04T00:00:00"/>
        <d v="2023-09-17T00:00:00"/>
        <d v="2023-07-08T00:00:00"/>
        <d v="2023-07-25T00:00:00"/>
        <d v="2023-10-12T00:00:00"/>
        <d v="2023-04-19T00:00:00"/>
        <d v="2023-08-30T00:00:00"/>
        <d v="2023-04-05T00:00:00"/>
        <d v="2023-08-09T00:00:00"/>
        <d v="2023-06-01T00:00:00"/>
        <d v="2023-05-20T00:00:00"/>
        <d v="2023-02-01T00:00:00"/>
        <d v="2023-12-25T00:00:00"/>
        <d v="2023-03-18T00:00:00"/>
        <d v="2023-06-17T00:00:00"/>
        <d v="2023-05-02T00:00:00"/>
        <d v="2023-05-03T00:00:00"/>
        <d v="2023-05-21T00:00:00"/>
        <d v="2023-02-25T00:00:00"/>
        <d v="2023-01-19T00:00:00"/>
        <d v="2023-12-24T00:00:00"/>
        <d v="2023-01-12T00:00:00"/>
        <d v="2023-01-27T00:00:00"/>
        <d v="2023-05-06T00:00:00"/>
        <d v="2023-04-14T00:00:00"/>
        <d v="2023-01-23T00:00:00"/>
        <d v="2023-04-23T00:00:00"/>
        <d v="2023-10-01T00:00:00"/>
        <d v="2023-08-04T00:00:00"/>
        <d v="2023-01-26T00:00:00"/>
        <d v="2023-05-16T00:00:00"/>
        <d v="2023-12-16T00:00:00"/>
        <d v="2023-02-10T00:00:00"/>
        <d v="2023-01-17T00:00:00"/>
        <d v="2023-01-30T00:00:00"/>
        <d v="2023-07-18T00:00:00"/>
        <d v="2023-03-17T00:00:00"/>
        <d v="2023-01-11T00:00:00"/>
        <d v="2023-09-30T00:00:00"/>
        <d v="2023-06-04T00:00:00"/>
        <d v="2023-05-15T00:00:00"/>
        <d v="2023-03-07T00:00:00"/>
        <d v="2023-05-19T00:00:00"/>
        <d v="2023-02-28T00:00:00"/>
        <d v="2023-06-21T00:00:00"/>
        <d v="2023-03-29T00:00:00"/>
        <d v="2023-07-04T00:00:00"/>
        <d v="2023-01-02T00:00:00"/>
      </sharedItems>
    </cacheField>
    <cacheField name="Location" numFmtId="0">
      <sharedItems count="10">
        <s v="New York"/>
        <s v="Los Angeles"/>
        <s v="Chicago"/>
        <s v="Boston"/>
        <s v="Miami"/>
        <s v="Houston"/>
        <s v="Dallas"/>
        <s v="San Francisco"/>
        <s v="Phoenix"/>
        <s v="Seattle"/>
      </sharedItems>
    </cacheField>
    <cacheField name="PaymentMethod" numFmtId="0">
      <sharedItems count="5">
        <s v="Bank Transfer"/>
        <s v="Cash"/>
        <s v="Credit Card"/>
        <s v="Debit Card"/>
        <s v="PayPal"/>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n v="3"/>
    <x v="0"/>
    <x v="0"/>
    <x v="0"/>
    <x v="0"/>
    <x v="0"/>
  </r>
  <r>
    <x v="1"/>
    <x v="1"/>
    <x v="1"/>
    <x v="1"/>
    <n v="4"/>
    <x v="1"/>
    <x v="1"/>
    <x v="1"/>
    <x v="1"/>
    <x v="0"/>
  </r>
  <r>
    <x v="2"/>
    <x v="2"/>
    <x v="2"/>
    <x v="1"/>
    <n v="2"/>
    <x v="2"/>
    <x v="2"/>
    <x v="2"/>
    <x v="2"/>
    <x v="1"/>
  </r>
  <r>
    <x v="3"/>
    <x v="0"/>
    <x v="3"/>
    <x v="0"/>
    <n v="1"/>
    <x v="3"/>
    <x v="3"/>
    <x v="3"/>
    <x v="3"/>
    <x v="2"/>
  </r>
  <r>
    <x v="4"/>
    <x v="3"/>
    <x v="4"/>
    <x v="0"/>
    <n v="3"/>
    <x v="4"/>
    <x v="4"/>
    <x v="4"/>
    <x v="4"/>
    <x v="3"/>
  </r>
  <r>
    <x v="5"/>
    <x v="3"/>
    <x v="5"/>
    <x v="2"/>
    <n v="2"/>
    <x v="5"/>
    <x v="5"/>
    <x v="5"/>
    <x v="3"/>
    <x v="1"/>
  </r>
  <r>
    <x v="6"/>
    <x v="4"/>
    <x v="4"/>
    <x v="2"/>
    <n v="5"/>
    <x v="6"/>
    <x v="6"/>
    <x v="6"/>
    <x v="5"/>
    <x v="2"/>
  </r>
  <r>
    <x v="7"/>
    <x v="5"/>
    <x v="6"/>
    <x v="1"/>
    <n v="3"/>
    <x v="7"/>
    <x v="7"/>
    <x v="7"/>
    <x v="6"/>
    <x v="2"/>
  </r>
  <r>
    <x v="8"/>
    <x v="6"/>
    <x v="7"/>
    <x v="3"/>
    <n v="5"/>
    <x v="8"/>
    <x v="8"/>
    <x v="8"/>
    <x v="7"/>
    <x v="2"/>
  </r>
  <r>
    <x v="9"/>
    <x v="7"/>
    <x v="7"/>
    <x v="1"/>
    <n v="4"/>
    <x v="9"/>
    <x v="9"/>
    <x v="9"/>
    <x v="8"/>
    <x v="1"/>
  </r>
  <r>
    <x v="10"/>
    <x v="4"/>
    <x v="2"/>
    <x v="3"/>
    <n v="3"/>
    <x v="10"/>
    <x v="10"/>
    <x v="10"/>
    <x v="6"/>
    <x v="2"/>
  </r>
  <r>
    <x v="11"/>
    <x v="7"/>
    <x v="8"/>
    <x v="3"/>
    <n v="1"/>
    <x v="11"/>
    <x v="11"/>
    <x v="11"/>
    <x v="6"/>
    <x v="4"/>
  </r>
  <r>
    <x v="12"/>
    <x v="7"/>
    <x v="4"/>
    <x v="2"/>
    <n v="5"/>
    <x v="12"/>
    <x v="12"/>
    <x v="12"/>
    <x v="1"/>
    <x v="4"/>
  </r>
  <r>
    <x v="13"/>
    <x v="1"/>
    <x v="8"/>
    <x v="1"/>
    <n v="4"/>
    <x v="13"/>
    <x v="13"/>
    <x v="13"/>
    <x v="6"/>
    <x v="3"/>
  </r>
  <r>
    <x v="14"/>
    <x v="3"/>
    <x v="7"/>
    <x v="1"/>
    <n v="1"/>
    <x v="14"/>
    <x v="14"/>
    <x v="14"/>
    <x v="8"/>
    <x v="4"/>
  </r>
  <r>
    <x v="15"/>
    <x v="6"/>
    <x v="4"/>
    <x v="0"/>
    <n v="1"/>
    <x v="15"/>
    <x v="15"/>
    <x v="5"/>
    <x v="2"/>
    <x v="4"/>
  </r>
  <r>
    <x v="16"/>
    <x v="4"/>
    <x v="9"/>
    <x v="0"/>
    <n v="3"/>
    <x v="16"/>
    <x v="16"/>
    <x v="15"/>
    <x v="9"/>
    <x v="3"/>
  </r>
  <r>
    <x v="17"/>
    <x v="5"/>
    <x v="1"/>
    <x v="3"/>
    <n v="1"/>
    <x v="17"/>
    <x v="17"/>
    <x v="16"/>
    <x v="6"/>
    <x v="0"/>
  </r>
  <r>
    <x v="18"/>
    <x v="7"/>
    <x v="9"/>
    <x v="1"/>
    <n v="3"/>
    <x v="18"/>
    <x v="18"/>
    <x v="17"/>
    <x v="5"/>
    <x v="0"/>
  </r>
  <r>
    <x v="19"/>
    <x v="8"/>
    <x v="6"/>
    <x v="3"/>
    <n v="1"/>
    <x v="19"/>
    <x v="19"/>
    <x v="18"/>
    <x v="7"/>
    <x v="4"/>
  </r>
  <r>
    <x v="20"/>
    <x v="4"/>
    <x v="3"/>
    <x v="0"/>
    <n v="5"/>
    <x v="20"/>
    <x v="20"/>
    <x v="19"/>
    <x v="4"/>
    <x v="2"/>
  </r>
  <r>
    <x v="21"/>
    <x v="4"/>
    <x v="5"/>
    <x v="3"/>
    <n v="4"/>
    <x v="21"/>
    <x v="21"/>
    <x v="20"/>
    <x v="8"/>
    <x v="1"/>
  </r>
  <r>
    <x v="22"/>
    <x v="0"/>
    <x v="1"/>
    <x v="0"/>
    <n v="5"/>
    <x v="22"/>
    <x v="22"/>
    <x v="21"/>
    <x v="4"/>
    <x v="0"/>
  </r>
  <r>
    <x v="23"/>
    <x v="5"/>
    <x v="2"/>
    <x v="0"/>
    <n v="2"/>
    <x v="23"/>
    <x v="23"/>
    <x v="22"/>
    <x v="2"/>
    <x v="4"/>
  </r>
  <r>
    <x v="24"/>
    <x v="8"/>
    <x v="5"/>
    <x v="2"/>
    <n v="4"/>
    <x v="24"/>
    <x v="24"/>
    <x v="23"/>
    <x v="0"/>
    <x v="1"/>
  </r>
  <r>
    <x v="25"/>
    <x v="3"/>
    <x v="3"/>
    <x v="1"/>
    <n v="2"/>
    <x v="25"/>
    <x v="25"/>
    <x v="24"/>
    <x v="1"/>
    <x v="0"/>
  </r>
  <r>
    <x v="26"/>
    <x v="9"/>
    <x v="4"/>
    <x v="3"/>
    <n v="2"/>
    <x v="26"/>
    <x v="26"/>
    <x v="25"/>
    <x v="9"/>
    <x v="0"/>
  </r>
  <r>
    <x v="27"/>
    <x v="8"/>
    <x v="6"/>
    <x v="2"/>
    <n v="3"/>
    <x v="27"/>
    <x v="27"/>
    <x v="0"/>
    <x v="6"/>
    <x v="1"/>
  </r>
  <r>
    <x v="28"/>
    <x v="2"/>
    <x v="1"/>
    <x v="3"/>
    <n v="3"/>
    <x v="28"/>
    <x v="28"/>
    <x v="26"/>
    <x v="8"/>
    <x v="3"/>
  </r>
  <r>
    <x v="29"/>
    <x v="9"/>
    <x v="2"/>
    <x v="0"/>
    <n v="4"/>
    <x v="29"/>
    <x v="29"/>
    <x v="27"/>
    <x v="3"/>
    <x v="3"/>
  </r>
  <r>
    <x v="30"/>
    <x v="0"/>
    <x v="9"/>
    <x v="2"/>
    <n v="1"/>
    <x v="30"/>
    <x v="30"/>
    <x v="28"/>
    <x v="8"/>
    <x v="4"/>
  </r>
  <r>
    <x v="31"/>
    <x v="5"/>
    <x v="4"/>
    <x v="2"/>
    <n v="1"/>
    <x v="31"/>
    <x v="31"/>
    <x v="29"/>
    <x v="6"/>
    <x v="0"/>
  </r>
  <r>
    <x v="32"/>
    <x v="6"/>
    <x v="7"/>
    <x v="2"/>
    <n v="2"/>
    <x v="32"/>
    <x v="32"/>
    <x v="30"/>
    <x v="8"/>
    <x v="0"/>
  </r>
  <r>
    <x v="33"/>
    <x v="5"/>
    <x v="0"/>
    <x v="0"/>
    <n v="3"/>
    <x v="33"/>
    <x v="33"/>
    <x v="4"/>
    <x v="6"/>
    <x v="0"/>
  </r>
  <r>
    <x v="34"/>
    <x v="5"/>
    <x v="7"/>
    <x v="1"/>
    <n v="2"/>
    <x v="34"/>
    <x v="34"/>
    <x v="31"/>
    <x v="2"/>
    <x v="1"/>
  </r>
  <r>
    <x v="35"/>
    <x v="9"/>
    <x v="1"/>
    <x v="2"/>
    <n v="1"/>
    <x v="35"/>
    <x v="35"/>
    <x v="32"/>
    <x v="2"/>
    <x v="0"/>
  </r>
  <r>
    <x v="36"/>
    <x v="5"/>
    <x v="3"/>
    <x v="1"/>
    <n v="3"/>
    <x v="36"/>
    <x v="36"/>
    <x v="33"/>
    <x v="2"/>
    <x v="1"/>
  </r>
  <r>
    <x v="37"/>
    <x v="1"/>
    <x v="6"/>
    <x v="0"/>
    <n v="1"/>
    <x v="37"/>
    <x v="37"/>
    <x v="34"/>
    <x v="6"/>
    <x v="2"/>
  </r>
  <r>
    <x v="38"/>
    <x v="7"/>
    <x v="1"/>
    <x v="1"/>
    <n v="2"/>
    <x v="38"/>
    <x v="38"/>
    <x v="35"/>
    <x v="7"/>
    <x v="4"/>
  </r>
  <r>
    <x v="39"/>
    <x v="8"/>
    <x v="9"/>
    <x v="1"/>
    <n v="1"/>
    <x v="39"/>
    <x v="39"/>
    <x v="3"/>
    <x v="5"/>
    <x v="2"/>
  </r>
  <r>
    <x v="40"/>
    <x v="7"/>
    <x v="8"/>
    <x v="3"/>
    <n v="3"/>
    <x v="40"/>
    <x v="40"/>
    <x v="36"/>
    <x v="5"/>
    <x v="1"/>
  </r>
  <r>
    <x v="41"/>
    <x v="2"/>
    <x v="9"/>
    <x v="3"/>
    <n v="5"/>
    <x v="41"/>
    <x v="41"/>
    <x v="37"/>
    <x v="7"/>
    <x v="1"/>
  </r>
  <r>
    <x v="42"/>
    <x v="6"/>
    <x v="5"/>
    <x v="1"/>
    <n v="4"/>
    <x v="42"/>
    <x v="42"/>
    <x v="38"/>
    <x v="1"/>
    <x v="1"/>
  </r>
  <r>
    <x v="43"/>
    <x v="3"/>
    <x v="0"/>
    <x v="3"/>
    <n v="1"/>
    <x v="43"/>
    <x v="43"/>
    <x v="39"/>
    <x v="2"/>
    <x v="2"/>
  </r>
  <r>
    <x v="44"/>
    <x v="4"/>
    <x v="2"/>
    <x v="3"/>
    <n v="5"/>
    <x v="44"/>
    <x v="44"/>
    <x v="40"/>
    <x v="5"/>
    <x v="3"/>
  </r>
  <r>
    <x v="45"/>
    <x v="2"/>
    <x v="8"/>
    <x v="0"/>
    <n v="2"/>
    <x v="45"/>
    <x v="45"/>
    <x v="41"/>
    <x v="0"/>
    <x v="0"/>
  </r>
  <r>
    <x v="46"/>
    <x v="5"/>
    <x v="4"/>
    <x v="1"/>
    <n v="5"/>
    <x v="46"/>
    <x v="46"/>
    <x v="42"/>
    <x v="3"/>
    <x v="2"/>
  </r>
  <r>
    <x v="47"/>
    <x v="4"/>
    <x v="6"/>
    <x v="0"/>
    <n v="2"/>
    <x v="47"/>
    <x v="47"/>
    <x v="43"/>
    <x v="5"/>
    <x v="3"/>
  </r>
  <r>
    <x v="48"/>
    <x v="5"/>
    <x v="3"/>
    <x v="0"/>
    <n v="1"/>
    <x v="48"/>
    <x v="48"/>
    <x v="44"/>
    <x v="3"/>
    <x v="3"/>
  </r>
  <r>
    <x v="49"/>
    <x v="9"/>
    <x v="1"/>
    <x v="3"/>
    <n v="1"/>
    <x v="49"/>
    <x v="49"/>
    <x v="45"/>
    <x v="8"/>
    <x v="3"/>
  </r>
  <r>
    <x v="50"/>
    <x v="1"/>
    <x v="7"/>
    <x v="0"/>
    <n v="4"/>
    <x v="50"/>
    <x v="50"/>
    <x v="46"/>
    <x v="8"/>
    <x v="1"/>
  </r>
  <r>
    <x v="51"/>
    <x v="2"/>
    <x v="3"/>
    <x v="2"/>
    <n v="3"/>
    <x v="51"/>
    <x v="51"/>
    <x v="47"/>
    <x v="8"/>
    <x v="2"/>
  </r>
  <r>
    <x v="52"/>
    <x v="9"/>
    <x v="6"/>
    <x v="3"/>
    <n v="5"/>
    <x v="52"/>
    <x v="52"/>
    <x v="48"/>
    <x v="2"/>
    <x v="0"/>
  </r>
  <r>
    <x v="53"/>
    <x v="7"/>
    <x v="5"/>
    <x v="2"/>
    <n v="1"/>
    <x v="53"/>
    <x v="53"/>
    <x v="49"/>
    <x v="6"/>
    <x v="0"/>
  </r>
  <r>
    <x v="54"/>
    <x v="0"/>
    <x v="4"/>
    <x v="0"/>
    <n v="4"/>
    <x v="54"/>
    <x v="54"/>
    <x v="50"/>
    <x v="9"/>
    <x v="3"/>
  </r>
  <r>
    <x v="55"/>
    <x v="3"/>
    <x v="3"/>
    <x v="1"/>
    <n v="5"/>
    <x v="55"/>
    <x v="55"/>
    <x v="24"/>
    <x v="7"/>
    <x v="4"/>
  </r>
  <r>
    <x v="56"/>
    <x v="0"/>
    <x v="1"/>
    <x v="3"/>
    <n v="1"/>
    <x v="56"/>
    <x v="56"/>
    <x v="51"/>
    <x v="5"/>
    <x v="4"/>
  </r>
  <r>
    <x v="57"/>
    <x v="0"/>
    <x v="9"/>
    <x v="1"/>
    <n v="4"/>
    <x v="57"/>
    <x v="57"/>
    <x v="32"/>
    <x v="3"/>
    <x v="4"/>
  </r>
  <r>
    <x v="58"/>
    <x v="7"/>
    <x v="8"/>
    <x v="1"/>
    <n v="4"/>
    <x v="58"/>
    <x v="58"/>
    <x v="52"/>
    <x v="4"/>
    <x v="4"/>
  </r>
  <r>
    <x v="59"/>
    <x v="0"/>
    <x v="9"/>
    <x v="0"/>
    <n v="3"/>
    <x v="59"/>
    <x v="59"/>
    <x v="53"/>
    <x v="6"/>
    <x v="3"/>
  </r>
  <r>
    <x v="60"/>
    <x v="7"/>
    <x v="4"/>
    <x v="1"/>
    <n v="2"/>
    <x v="60"/>
    <x v="60"/>
    <x v="54"/>
    <x v="9"/>
    <x v="2"/>
  </r>
  <r>
    <x v="61"/>
    <x v="0"/>
    <x v="5"/>
    <x v="0"/>
    <n v="1"/>
    <x v="61"/>
    <x v="61"/>
    <x v="55"/>
    <x v="5"/>
    <x v="0"/>
  </r>
  <r>
    <x v="62"/>
    <x v="0"/>
    <x v="6"/>
    <x v="0"/>
    <n v="4"/>
    <x v="62"/>
    <x v="62"/>
    <x v="56"/>
    <x v="2"/>
    <x v="2"/>
  </r>
  <r>
    <x v="63"/>
    <x v="6"/>
    <x v="8"/>
    <x v="2"/>
    <n v="4"/>
    <x v="63"/>
    <x v="63"/>
    <x v="49"/>
    <x v="9"/>
    <x v="1"/>
  </r>
  <r>
    <x v="64"/>
    <x v="2"/>
    <x v="3"/>
    <x v="0"/>
    <n v="2"/>
    <x v="64"/>
    <x v="64"/>
    <x v="57"/>
    <x v="0"/>
    <x v="0"/>
  </r>
  <r>
    <x v="65"/>
    <x v="9"/>
    <x v="6"/>
    <x v="1"/>
    <n v="1"/>
    <x v="65"/>
    <x v="65"/>
    <x v="58"/>
    <x v="0"/>
    <x v="2"/>
  </r>
  <r>
    <x v="66"/>
    <x v="5"/>
    <x v="0"/>
    <x v="1"/>
    <n v="5"/>
    <x v="66"/>
    <x v="66"/>
    <x v="59"/>
    <x v="3"/>
    <x v="2"/>
  </r>
  <r>
    <x v="67"/>
    <x v="3"/>
    <x v="8"/>
    <x v="0"/>
    <n v="5"/>
    <x v="67"/>
    <x v="67"/>
    <x v="8"/>
    <x v="5"/>
    <x v="3"/>
  </r>
  <r>
    <x v="68"/>
    <x v="4"/>
    <x v="5"/>
    <x v="2"/>
    <n v="3"/>
    <x v="68"/>
    <x v="68"/>
    <x v="60"/>
    <x v="1"/>
    <x v="3"/>
  </r>
  <r>
    <x v="69"/>
    <x v="1"/>
    <x v="0"/>
    <x v="3"/>
    <n v="5"/>
    <x v="69"/>
    <x v="69"/>
    <x v="61"/>
    <x v="0"/>
    <x v="3"/>
  </r>
  <r>
    <x v="70"/>
    <x v="2"/>
    <x v="0"/>
    <x v="3"/>
    <n v="1"/>
    <x v="70"/>
    <x v="70"/>
    <x v="62"/>
    <x v="1"/>
    <x v="1"/>
  </r>
  <r>
    <x v="71"/>
    <x v="6"/>
    <x v="8"/>
    <x v="3"/>
    <n v="1"/>
    <x v="71"/>
    <x v="71"/>
    <x v="63"/>
    <x v="1"/>
    <x v="0"/>
  </r>
  <r>
    <x v="72"/>
    <x v="3"/>
    <x v="4"/>
    <x v="1"/>
    <n v="2"/>
    <x v="72"/>
    <x v="72"/>
    <x v="64"/>
    <x v="4"/>
    <x v="4"/>
  </r>
  <r>
    <x v="73"/>
    <x v="6"/>
    <x v="3"/>
    <x v="0"/>
    <n v="4"/>
    <x v="73"/>
    <x v="73"/>
    <x v="65"/>
    <x v="3"/>
    <x v="4"/>
  </r>
  <r>
    <x v="74"/>
    <x v="7"/>
    <x v="8"/>
    <x v="1"/>
    <n v="2"/>
    <x v="74"/>
    <x v="74"/>
    <x v="66"/>
    <x v="5"/>
    <x v="3"/>
  </r>
  <r>
    <x v="75"/>
    <x v="2"/>
    <x v="7"/>
    <x v="3"/>
    <n v="1"/>
    <x v="75"/>
    <x v="75"/>
    <x v="67"/>
    <x v="0"/>
    <x v="4"/>
  </r>
  <r>
    <x v="76"/>
    <x v="6"/>
    <x v="9"/>
    <x v="3"/>
    <n v="5"/>
    <x v="76"/>
    <x v="76"/>
    <x v="68"/>
    <x v="6"/>
    <x v="0"/>
  </r>
  <r>
    <x v="77"/>
    <x v="5"/>
    <x v="8"/>
    <x v="0"/>
    <n v="5"/>
    <x v="77"/>
    <x v="77"/>
    <x v="69"/>
    <x v="5"/>
    <x v="0"/>
  </r>
  <r>
    <x v="78"/>
    <x v="6"/>
    <x v="3"/>
    <x v="3"/>
    <n v="3"/>
    <x v="78"/>
    <x v="78"/>
    <x v="70"/>
    <x v="0"/>
    <x v="1"/>
  </r>
  <r>
    <x v="79"/>
    <x v="7"/>
    <x v="1"/>
    <x v="3"/>
    <n v="1"/>
    <x v="79"/>
    <x v="79"/>
    <x v="71"/>
    <x v="4"/>
    <x v="2"/>
  </r>
  <r>
    <x v="80"/>
    <x v="9"/>
    <x v="1"/>
    <x v="3"/>
    <n v="1"/>
    <x v="80"/>
    <x v="80"/>
    <x v="72"/>
    <x v="6"/>
    <x v="1"/>
  </r>
  <r>
    <x v="81"/>
    <x v="5"/>
    <x v="3"/>
    <x v="1"/>
    <n v="2"/>
    <x v="81"/>
    <x v="81"/>
    <x v="73"/>
    <x v="1"/>
    <x v="0"/>
  </r>
  <r>
    <x v="82"/>
    <x v="2"/>
    <x v="5"/>
    <x v="0"/>
    <n v="3"/>
    <x v="82"/>
    <x v="82"/>
    <x v="74"/>
    <x v="0"/>
    <x v="1"/>
  </r>
  <r>
    <x v="83"/>
    <x v="4"/>
    <x v="9"/>
    <x v="3"/>
    <n v="3"/>
    <x v="83"/>
    <x v="83"/>
    <x v="13"/>
    <x v="0"/>
    <x v="0"/>
  </r>
  <r>
    <x v="84"/>
    <x v="2"/>
    <x v="7"/>
    <x v="3"/>
    <n v="2"/>
    <x v="84"/>
    <x v="84"/>
    <x v="75"/>
    <x v="6"/>
    <x v="0"/>
  </r>
  <r>
    <x v="85"/>
    <x v="7"/>
    <x v="9"/>
    <x v="0"/>
    <n v="3"/>
    <x v="85"/>
    <x v="85"/>
    <x v="76"/>
    <x v="7"/>
    <x v="0"/>
  </r>
  <r>
    <x v="86"/>
    <x v="7"/>
    <x v="2"/>
    <x v="0"/>
    <n v="2"/>
    <x v="86"/>
    <x v="86"/>
    <x v="48"/>
    <x v="1"/>
    <x v="0"/>
  </r>
  <r>
    <x v="87"/>
    <x v="8"/>
    <x v="3"/>
    <x v="2"/>
    <n v="5"/>
    <x v="87"/>
    <x v="87"/>
    <x v="77"/>
    <x v="1"/>
    <x v="2"/>
  </r>
  <r>
    <x v="88"/>
    <x v="5"/>
    <x v="5"/>
    <x v="2"/>
    <n v="1"/>
    <x v="88"/>
    <x v="88"/>
    <x v="78"/>
    <x v="4"/>
    <x v="0"/>
  </r>
  <r>
    <x v="89"/>
    <x v="6"/>
    <x v="8"/>
    <x v="2"/>
    <n v="1"/>
    <x v="89"/>
    <x v="89"/>
    <x v="79"/>
    <x v="5"/>
    <x v="3"/>
  </r>
  <r>
    <x v="90"/>
    <x v="6"/>
    <x v="5"/>
    <x v="0"/>
    <n v="5"/>
    <x v="90"/>
    <x v="90"/>
    <x v="80"/>
    <x v="0"/>
    <x v="0"/>
  </r>
  <r>
    <x v="91"/>
    <x v="1"/>
    <x v="0"/>
    <x v="3"/>
    <n v="1"/>
    <x v="91"/>
    <x v="91"/>
    <x v="81"/>
    <x v="6"/>
    <x v="0"/>
  </r>
  <r>
    <x v="92"/>
    <x v="1"/>
    <x v="5"/>
    <x v="2"/>
    <n v="2"/>
    <x v="92"/>
    <x v="92"/>
    <x v="82"/>
    <x v="1"/>
    <x v="1"/>
  </r>
  <r>
    <x v="93"/>
    <x v="6"/>
    <x v="7"/>
    <x v="0"/>
    <n v="2"/>
    <x v="93"/>
    <x v="93"/>
    <x v="83"/>
    <x v="7"/>
    <x v="1"/>
  </r>
  <r>
    <x v="94"/>
    <x v="8"/>
    <x v="4"/>
    <x v="0"/>
    <n v="5"/>
    <x v="94"/>
    <x v="94"/>
    <x v="84"/>
    <x v="6"/>
    <x v="2"/>
  </r>
  <r>
    <x v="95"/>
    <x v="7"/>
    <x v="1"/>
    <x v="0"/>
    <n v="2"/>
    <x v="95"/>
    <x v="95"/>
    <x v="85"/>
    <x v="4"/>
    <x v="0"/>
  </r>
  <r>
    <x v="96"/>
    <x v="2"/>
    <x v="3"/>
    <x v="0"/>
    <n v="2"/>
    <x v="96"/>
    <x v="96"/>
    <x v="86"/>
    <x v="2"/>
    <x v="3"/>
  </r>
  <r>
    <x v="97"/>
    <x v="1"/>
    <x v="0"/>
    <x v="0"/>
    <n v="5"/>
    <x v="97"/>
    <x v="97"/>
    <x v="87"/>
    <x v="8"/>
    <x v="4"/>
  </r>
  <r>
    <x v="98"/>
    <x v="5"/>
    <x v="8"/>
    <x v="3"/>
    <n v="1"/>
    <x v="98"/>
    <x v="98"/>
    <x v="88"/>
    <x v="1"/>
    <x v="2"/>
  </r>
  <r>
    <x v="99"/>
    <x v="0"/>
    <x v="1"/>
    <x v="2"/>
    <n v="1"/>
    <x v="99"/>
    <x v="99"/>
    <x v="25"/>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K13" firstHeaderRow="1" firstDataRow="3" firstDataCol="1" rowPageCount="3" colPageCount="1"/>
  <pivotFields count="10">
    <pivotField showAll="0"/>
    <pivotField axis="axisRow" showAll="0">
      <items count="11">
        <item x="8"/>
        <item x="6"/>
        <item x="7"/>
        <item x="5"/>
        <item x="3"/>
        <item x="4"/>
        <item x="2"/>
        <item x="0"/>
        <item x="9"/>
        <item x="1"/>
        <item t="default"/>
      </items>
    </pivotField>
    <pivotField axis="axisCol" showAll="0">
      <items count="11">
        <item x="5"/>
        <item x="8"/>
        <item x="3"/>
        <item x="6"/>
        <item x="1"/>
        <item x="0"/>
        <item x="9"/>
        <item x="4"/>
        <item x="2"/>
        <item x="7"/>
        <item t="default"/>
      </items>
    </pivotField>
    <pivotField axis="axisCol" showAll="0">
      <items count="5">
        <item x="1"/>
        <item x="3"/>
        <item x="0"/>
        <item x="2"/>
        <item t="default"/>
      </items>
    </pivotField>
    <pivotField showAll="0"/>
    <pivotField axis="axisPage" showAll="0">
      <items count="101">
        <item x="28"/>
        <item x="81"/>
        <item x="14"/>
        <item x="85"/>
        <item x="10"/>
        <item x="4"/>
        <item x="74"/>
        <item x="25"/>
        <item x="43"/>
        <item x="70"/>
        <item x="76"/>
        <item x="24"/>
        <item x="62"/>
        <item x="49"/>
        <item x="57"/>
        <item x="96"/>
        <item x="38"/>
        <item x="5"/>
        <item x="31"/>
        <item x="55"/>
        <item x="23"/>
        <item x="58"/>
        <item x="77"/>
        <item x="90"/>
        <item x="39"/>
        <item x="13"/>
        <item x="95"/>
        <item x="0"/>
        <item x="45"/>
        <item x="51"/>
        <item x="60"/>
        <item x="54"/>
        <item x="29"/>
        <item x="33"/>
        <item x="97"/>
        <item x="88"/>
        <item x="64"/>
        <item x="42"/>
        <item x="48"/>
        <item x="8"/>
        <item x="27"/>
        <item x="61"/>
        <item x="75"/>
        <item x="80"/>
        <item x="35"/>
        <item x="72"/>
        <item x="84"/>
        <item x="79"/>
        <item x="17"/>
        <item x="20"/>
        <item x="59"/>
        <item x="7"/>
        <item x="92"/>
        <item x="67"/>
        <item x="93"/>
        <item x="11"/>
        <item x="98"/>
        <item x="40"/>
        <item x="22"/>
        <item x="94"/>
        <item x="2"/>
        <item x="83"/>
        <item x="91"/>
        <item x="66"/>
        <item x="53"/>
        <item x="16"/>
        <item x="50"/>
        <item x="6"/>
        <item x="71"/>
        <item x="41"/>
        <item x="73"/>
        <item x="99"/>
        <item x="86"/>
        <item x="82"/>
        <item x="89"/>
        <item x="46"/>
        <item x="12"/>
        <item x="37"/>
        <item x="68"/>
        <item x="63"/>
        <item x="30"/>
        <item x="69"/>
        <item x="36"/>
        <item x="52"/>
        <item x="3"/>
        <item x="1"/>
        <item x="18"/>
        <item x="44"/>
        <item x="21"/>
        <item x="78"/>
        <item x="26"/>
        <item x="19"/>
        <item x="65"/>
        <item x="56"/>
        <item x="32"/>
        <item x="87"/>
        <item x="47"/>
        <item x="15"/>
        <item x="9"/>
        <item x="34"/>
        <item t="default"/>
      </items>
    </pivotField>
    <pivotField dataField="1" showAll="0">
      <items count="101">
        <item x="14"/>
        <item x="81"/>
        <item x="43"/>
        <item x="70"/>
        <item x="28"/>
        <item x="49"/>
        <item x="85"/>
        <item x="74"/>
        <item x="25"/>
        <item x="31"/>
        <item x="10"/>
        <item x="4"/>
        <item x="39"/>
        <item x="88"/>
        <item x="96"/>
        <item x="48"/>
        <item x="38"/>
        <item x="61"/>
        <item x="75"/>
        <item x="5"/>
        <item x="80"/>
        <item x="35"/>
        <item x="79"/>
        <item x="23"/>
        <item x="17"/>
        <item x="11"/>
        <item x="24"/>
        <item x="62"/>
        <item x="98"/>
        <item x="95"/>
        <item x="91"/>
        <item x="45"/>
        <item x="53"/>
        <item x="60"/>
        <item x="76"/>
        <item x="71"/>
        <item x="99"/>
        <item x="57"/>
        <item x="64"/>
        <item x="89"/>
        <item x="37"/>
        <item x="30"/>
        <item x="3"/>
        <item x="72"/>
        <item x="19"/>
        <item x="84"/>
        <item x="65"/>
        <item x="56"/>
        <item x="15"/>
        <item x="58"/>
        <item x="0"/>
        <item x="51"/>
        <item x="92"/>
        <item x="33"/>
        <item x="55"/>
        <item x="93"/>
        <item x="27"/>
        <item x="13"/>
        <item x="2"/>
        <item x="54"/>
        <item x="29"/>
        <item x="77"/>
        <item x="59"/>
        <item x="86"/>
        <item x="7"/>
        <item x="90"/>
        <item x="42"/>
        <item x="26"/>
        <item x="32"/>
        <item x="97"/>
        <item x="47"/>
        <item x="40"/>
        <item x="34"/>
        <item x="8"/>
        <item x="83"/>
        <item x="16"/>
        <item x="82"/>
        <item x="20"/>
        <item x="68"/>
        <item x="36"/>
        <item x="18"/>
        <item x="78"/>
        <item x="67"/>
        <item x="50"/>
        <item x="73"/>
        <item x="22"/>
        <item x="94"/>
        <item x="63"/>
        <item x="66"/>
        <item x="1"/>
        <item x="21"/>
        <item x="6"/>
        <item x="41"/>
        <item x="9"/>
        <item x="46"/>
        <item x="12"/>
        <item x="69"/>
        <item x="52"/>
        <item x="44"/>
        <item x="87"/>
        <item t="default"/>
      </items>
    </pivotField>
    <pivotField numFmtId="164" showAll="0">
      <items count="90">
        <item h="1" x="31"/>
        <item h="1" x="88"/>
        <item h="1" x="41"/>
        <item h="1" x="35"/>
        <item h="1" x="78"/>
        <item h="1" x="62"/>
        <item h="1" x="74"/>
        <item h="1" x="60"/>
        <item h="1" x="66"/>
        <item h="1" x="70"/>
        <item h="1" x="63"/>
        <item h="1" x="75"/>
        <item h="1" x="52"/>
        <item h="1" x="8"/>
        <item h="1" x="73"/>
        <item h="1" x="12"/>
        <item h="1" x="59"/>
        <item h="1" x="84"/>
        <item h="1" x="82"/>
        <item h="1" x="7"/>
        <item h="1" x="20"/>
        <item h="1" x="77"/>
        <item x="54"/>
        <item h="1" x="86"/>
        <item h="1" x="36"/>
        <item h="1" x="28"/>
        <item h="1" x="37"/>
        <item h="1" x="48"/>
        <item h="1" x="16"/>
        <item h="1" x="65"/>
        <item h="1" x="29"/>
        <item h="1" x="46"/>
        <item h="1" x="67"/>
        <item h="1" x="9"/>
        <item h="1" x="14"/>
        <item h="1" x="56"/>
        <item h="1" x="57"/>
        <item h="1" x="26"/>
        <item h="1" x="64"/>
        <item h="1" x="81"/>
        <item h="1" x="71"/>
        <item h="1" x="83"/>
        <item h="1" x="51"/>
        <item h="1" x="58"/>
        <item h="1" x="34"/>
        <item h="1" x="50"/>
        <item h="1" x="80"/>
        <item h="1" x="5"/>
        <item h="1" x="25"/>
        <item h="1" x="1"/>
        <item h="1" x="55"/>
        <item h="1" x="85"/>
        <item h="1" x="87"/>
        <item h="1" x="43"/>
        <item h="1" x="76"/>
        <item h="1" x="33"/>
        <item h="1" x="44"/>
        <item h="1" x="19"/>
        <item h="1" x="69"/>
        <item h="1" x="2"/>
        <item h="1" x="6"/>
        <item h="1" x="49"/>
        <item h="1" x="13"/>
        <item h="1" x="23"/>
        <item h="1" x="47"/>
        <item h="1" x="0"/>
        <item h="1" x="42"/>
        <item h="1" x="21"/>
        <item h="1" x="4"/>
        <item h="1" x="10"/>
        <item h="1" x="79"/>
        <item h="1" x="68"/>
        <item h="1" x="15"/>
        <item h="1" x="45"/>
        <item h="1" x="39"/>
        <item h="1" x="17"/>
        <item h="1" x="3"/>
        <item h="1" x="24"/>
        <item h="1" x="40"/>
        <item h="1" x="11"/>
        <item h="1" x="32"/>
        <item h="1" x="22"/>
        <item h="1" x="38"/>
        <item h="1" x="27"/>
        <item h="1" x="72"/>
        <item h="1" x="18"/>
        <item h="1" x="61"/>
        <item h="1" x="53"/>
        <item h="1" x="30"/>
        <item t="default"/>
      </items>
    </pivotField>
    <pivotField axis="axisPage" multipleItemSelectionAllowed="1" showAll="0">
      <items count="11">
        <item h="1" x="3"/>
        <item h="1" x="2"/>
        <item h="1" x="6"/>
        <item h="1" x="5"/>
        <item h="1" x="1"/>
        <item h="1" x="4"/>
        <item h="1" x="0"/>
        <item h="1" x="8"/>
        <item h="1" x="7"/>
        <item x="9"/>
        <item t="default"/>
      </items>
    </pivotField>
    <pivotField axis="axisPage" showAll="0">
      <items count="6">
        <item x="0"/>
        <item x="1"/>
        <item x="2"/>
        <item x="3"/>
        <item x="4"/>
        <item t="default"/>
      </items>
    </pivotField>
  </pivotFields>
  <rowFields count="1">
    <field x="1"/>
  </rowFields>
  <rowItems count="6">
    <i>
      <x v="1"/>
    </i>
    <i>
      <x v="2"/>
    </i>
    <i>
      <x v="5"/>
    </i>
    <i>
      <x v="7"/>
    </i>
    <i>
      <x v="8"/>
    </i>
    <i t="grand">
      <x/>
    </i>
  </rowItems>
  <colFields count="2">
    <field x="3"/>
    <field x="2"/>
  </colFields>
  <colItems count="10">
    <i>
      <x/>
      <x v="7"/>
    </i>
    <i t="default">
      <x/>
    </i>
    <i>
      <x v="1"/>
      <x v="7"/>
    </i>
    <i t="default">
      <x v="1"/>
    </i>
    <i>
      <x v="2"/>
      <x v="6"/>
    </i>
    <i r="1">
      <x v="7"/>
    </i>
    <i t="default">
      <x v="2"/>
    </i>
    <i>
      <x v="3"/>
      <x v="1"/>
    </i>
    <i t="default">
      <x v="3"/>
    </i>
    <i t="grand">
      <x/>
    </i>
  </colItems>
  <pageFields count="3">
    <pageField fld="9" hier="-1"/>
    <pageField fld="5" hier="-1"/>
    <pageField fld="8" hier="-1"/>
  </pageFields>
  <dataFields count="1">
    <dataField name="Sum of TotalAmount" fld="6" baseField="0" baseItem="0"/>
  </dataFields>
  <chartFormats count="18">
    <chartFormat chart="0" format="38" series="1">
      <pivotArea type="data" outline="0" fieldPosition="0">
        <references count="2">
          <reference field="4294967294" count="1" selected="0">
            <x v="0"/>
          </reference>
          <reference field="3" count="1" selected="0">
            <x v="0"/>
          </reference>
        </references>
      </pivotArea>
    </chartFormat>
    <chartFormat chart="0" format="39" series="1">
      <pivotArea type="data" outline="0" fieldPosition="0">
        <references count="2">
          <reference field="4294967294" count="1" selected="0">
            <x v="0"/>
          </reference>
          <reference field="3" count="1" selected="0">
            <x v="1"/>
          </reference>
        </references>
      </pivotArea>
    </chartFormat>
    <chartFormat chart="0" format="40" series="1">
      <pivotArea type="data" outline="0" fieldPosition="0">
        <references count="2">
          <reference field="4294967294" count="1" selected="0">
            <x v="0"/>
          </reference>
          <reference field="3" count="1" selected="0">
            <x v="2"/>
          </reference>
        </references>
      </pivotArea>
    </chartFormat>
    <chartFormat chart="0" format="41" series="1">
      <pivotArea type="data" outline="0" fieldPosition="0">
        <references count="2">
          <reference field="4294967294" count="1" selected="0">
            <x v="0"/>
          </reference>
          <reference field="3" count="1" selected="0">
            <x v="3"/>
          </reference>
        </references>
      </pivotArea>
    </chartFormat>
    <chartFormat chart="0" format="42" series="1">
      <pivotArea type="data" outline="0" fieldPosition="0">
        <references count="1">
          <reference field="4294967294" count="1" selected="0">
            <x v="0"/>
          </reference>
        </references>
      </pivotArea>
    </chartFormat>
    <chartFormat chart="0" format="43" series="1">
      <pivotArea type="data" outline="0" fieldPosition="0">
        <references count="3">
          <reference field="4294967294" count="1" selected="0">
            <x v="0"/>
          </reference>
          <reference field="2" count="1" selected="0">
            <x v="8"/>
          </reference>
          <reference field="3" count="1" selected="0">
            <x v="0"/>
          </reference>
        </references>
      </pivotArea>
    </chartFormat>
    <chartFormat chart="0" format="44" series="1">
      <pivotArea type="data" outline="0" fieldPosition="0">
        <references count="3">
          <reference field="4294967294" count="1" selected="0">
            <x v="0"/>
          </reference>
          <reference field="2" count="1" selected="0">
            <x v="4"/>
          </reference>
          <reference field="3" count="1" selected="0">
            <x v="1"/>
          </reference>
        </references>
      </pivotArea>
    </chartFormat>
    <chartFormat chart="0" format="45" series="1">
      <pivotArea type="data" outline="0" fieldPosition="0">
        <references count="3">
          <reference field="4294967294" count="1" selected="0">
            <x v="0"/>
          </reference>
          <reference field="2" count="1" selected="0">
            <x v="5"/>
          </reference>
          <reference field="3" count="1" selected="0">
            <x v="1"/>
          </reference>
        </references>
      </pivotArea>
    </chartFormat>
    <chartFormat chart="0" format="46" series="1">
      <pivotArea type="data" outline="0" fieldPosition="0">
        <references count="3">
          <reference field="4294967294" count="1" selected="0">
            <x v="0"/>
          </reference>
          <reference field="2" count="1" selected="0">
            <x v="6"/>
          </reference>
          <reference field="3" count="1" selected="0">
            <x v="1"/>
          </reference>
        </references>
      </pivotArea>
    </chartFormat>
    <chartFormat chart="0" format="47" series="1">
      <pivotArea type="data" outline="0" fieldPosition="0">
        <references count="3">
          <reference field="4294967294" count="1" selected="0">
            <x v="0"/>
          </reference>
          <reference field="2" count="1" selected="0">
            <x v="9"/>
          </reference>
          <reference field="3" count="1" selected="0">
            <x v="1"/>
          </reference>
        </references>
      </pivotArea>
    </chartFormat>
    <chartFormat chart="0" format="48" series="1">
      <pivotArea type="data" outline="0" fieldPosition="0">
        <references count="3">
          <reference field="4294967294" count="1" selected="0">
            <x v="0"/>
          </reference>
          <reference field="2" count="1" selected="0">
            <x v="0"/>
          </reference>
          <reference field="3" count="1" selected="0">
            <x v="2"/>
          </reference>
        </references>
      </pivotArea>
    </chartFormat>
    <chartFormat chart="0" format="49" series="1">
      <pivotArea type="data" outline="0" fieldPosition="0">
        <references count="3">
          <reference field="4294967294" count="1" selected="0">
            <x v="0"/>
          </reference>
          <reference field="2" count="1" selected="0">
            <x v="1"/>
          </reference>
          <reference field="3" count="1" selected="0">
            <x v="2"/>
          </reference>
        </references>
      </pivotArea>
    </chartFormat>
    <chartFormat chart="0" format="50" series="1">
      <pivotArea type="data" outline="0" fieldPosition="0">
        <references count="3">
          <reference field="4294967294" count="1" selected="0">
            <x v="0"/>
          </reference>
          <reference field="2" count="1" selected="0">
            <x v="2"/>
          </reference>
          <reference field="3" count="1" selected="0">
            <x v="2"/>
          </reference>
        </references>
      </pivotArea>
    </chartFormat>
    <chartFormat chart="0" format="51" series="1">
      <pivotArea type="data" outline="0" fieldPosition="0">
        <references count="3">
          <reference field="4294967294" count="1" selected="0">
            <x v="0"/>
          </reference>
          <reference field="2" count="1" selected="0">
            <x v="2"/>
          </reference>
          <reference field="3" count="1" selected="0">
            <x v="3"/>
          </reference>
        </references>
      </pivotArea>
    </chartFormat>
    <chartFormat chart="0" format="52" series="1">
      <pivotArea type="data" outline="0" fieldPosition="0">
        <references count="3">
          <reference field="4294967294" count="1" selected="0">
            <x v="0"/>
          </reference>
          <reference field="2" count="1" selected="0">
            <x v="5"/>
          </reference>
          <reference field="3" count="1" selected="0">
            <x v="2"/>
          </reference>
        </references>
      </pivotArea>
    </chartFormat>
    <chartFormat chart="0" format="53" series="1">
      <pivotArea type="data" outline="0" fieldPosition="0">
        <references count="3">
          <reference field="4294967294" count="1" selected="0">
            <x v="0"/>
          </reference>
          <reference field="2" count="1" selected="0">
            <x v="8"/>
          </reference>
          <reference field="3" count="1" selected="0">
            <x v="2"/>
          </reference>
        </references>
      </pivotArea>
    </chartFormat>
    <chartFormat chart="0" format="54" series="1">
      <pivotArea type="data" outline="0" fieldPosition="0">
        <references count="3">
          <reference field="4294967294" count="1" selected="0">
            <x v="0"/>
          </reference>
          <reference field="2" count="1" selected="0">
            <x v="0"/>
          </reference>
          <reference field="3" count="1" selected="0">
            <x v="3"/>
          </reference>
        </references>
      </pivotArea>
    </chartFormat>
    <chartFormat chart="0" format="55" series="1">
      <pivotArea type="data" outline="0" fieldPosition="0">
        <references count="3">
          <reference field="4294967294" count="1" selected="0">
            <x v="0"/>
          </reference>
          <reference field="2" count="1" selected="0">
            <x v="7"/>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ustomerName" sourceName="CustomerName">
  <pivotTables>
    <pivotTable tabId="2" name="PivotTable1"/>
  </pivotTables>
  <data>
    <tabular pivotCacheId="1">
      <items count="10">
        <i x="6" s="1"/>
        <i x="7" s="1"/>
        <i x="4" s="1"/>
        <i x="0" s="1"/>
        <i x="9" s="1"/>
        <i x="8" s="1" nd="1"/>
        <i x="5" s="1" nd="1"/>
        <i x="3" s="1" nd="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2" name="PivotTable1"/>
  </pivotTables>
  <data>
    <tabular pivotCacheId="1">
      <items count="10">
        <i x="3"/>
        <i x="2"/>
        <i x="6"/>
        <i x="5"/>
        <i x="1"/>
        <i x="4"/>
        <i x="0"/>
        <i x="8"/>
        <i x="7"/>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ustomerName" cache="Slicer_CustomerName" caption="CustomerName" startItem="3" rowHeight="234950"/>
  <slicer name="Location" cache="Slicer_Location" caption="Location" startItem="3" rowHeight="234950"/>
</slicers>
</file>

<file path=xl/tables/table1.xml><?xml version="1.0" encoding="utf-8"?>
<table xmlns="http://schemas.openxmlformats.org/spreadsheetml/2006/main" id="1" name="Table1" displayName="Table1" ref="A1:J101" totalsRowShown="0" headerRowDxfId="3" headerRowBorderDxfId="2" tableBorderDxfId="1">
  <autoFilter ref="A1:J101"/>
  <tableColumns count="10">
    <tableColumn id="1" name="OrderID"/>
    <tableColumn id="2" name="CustomerName"/>
    <tableColumn id="3" name="Product"/>
    <tableColumn id="4" name="Category"/>
    <tableColumn id="5" name="Quantity"/>
    <tableColumn id="6" name="Price"/>
    <tableColumn id="7" name="TotalAmount"/>
    <tableColumn id="8" name="OrderDate" dataDxfId="0"/>
    <tableColumn id="9" name="Location"/>
    <tableColumn id="10" name="Payment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topLeftCell="A2" workbookViewId="0">
      <selection activeCell="A2" sqref="A2:J101"/>
    </sheetView>
  </sheetViews>
  <sheetFormatPr defaultRowHeight="14.4" x14ac:dyDescent="0.3"/>
  <cols>
    <col min="1" max="1" width="9.44140625" customWidth="1"/>
    <col min="2" max="2" width="16" customWidth="1"/>
    <col min="3" max="3" width="9.5546875" customWidth="1"/>
    <col min="4" max="4" width="10.44140625" customWidth="1"/>
    <col min="5" max="5" width="10.21875" customWidth="1"/>
    <col min="7" max="7" width="14" customWidth="1"/>
    <col min="8" max="8" width="11.5546875" customWidth="1"/>
    <col min="9" max="9" width="10.109375" customWidth="1"/>
    <col min="10" max="10" width="17.21875" customWidth="1"/>
    <col min="14" max="14" width="14" customWidth="1"/>
  </cols>
  <sheetData>
    <row r="1" spans="1:15" x14ac:dyDescent="0.3">
      <c r="A1" s="3" t="s">
        <v>0</v>
      </c>
      <c r="B1" s="3" t="s">
        <v>1</v>
      </c>
      <c r="C1" s="3" t="s">
        <v>2</v>
      </c>
      <c r="D1" s="3" t="s">
        <v>3</v>
      </c>
      <c r="E1" s="3" t="s">
        <v>4</v>
      </c>
      <c r="F1" s="3" t="s">
        <v>5</v>
      </c>
      <c r="G1" s="3" t="s">
        <v>6</v>
      </c>
      <c r="H1" s="3" t="s">
        <v>7</v>
      </c>
      <c r="I1" s="3" t="s">
        <v>8</v>
      </c>
      <c r="J1" s="3" t="s">
        <v>9</v>
      </c>
      <c r="M1" s="2" t="s">
        <v>0</v>
      </c>
      <c r="N1" s="4" t="s">
        <v>21</v>
      </c>
    </row>
    <row r="2" spans="1:15" x14ac:dyDescent="0.3">
      <c r="A2" t="s">
        <v>10</v>
      </c>
      <c r="B2" t="s">
        <v>11</v>
      </c>
      <c r="C2" t="s">
        <v>12</v>
      </c>
      <c r="D2" t="s">
        <v>13</v>
      </c>
      <c r="E2">
        <v>3</v>
      </c>
      <c r="F2">
        <v>699.14</v>
      </c>
      <c r="G2">
        <v>2097.42</v>
      </c>
      <c r="H2" s="1">
        <v>45185</v>
      </c>
      <c r="I2" t="s">
        <v>14</v>
      </c>
      <c r="J2" t="s">
        <v>15</v>
      </c>
      <c r="M2" s="2" t="s">
        <v>1</v>
      </c>
      <c r="N2" s="5" t="str">
        <f>VLOOKUP($N$1,Table1[],MATCH(M2,$M$1:$M$10,0),FALSE)</f>
        <v>Michael Brown</v>
      </c>
    </row>
    <row r="3" spans="1:15" x14ac:dyDescent="0.3">
      <c r="A3" t="s">
        <v>16</v>
      </c>
      <c r="B3" t="s">
        <v>17</v>
      </c>
      <c r="C3" t="s">
        <v>18</v>
      </c>
      <c r="D3" t="s">
        <v>19</v>
      </c>
      <c r="E3">
        <v>4</v>
      </c>
      <c r="F3">
        <v>1776.72</v>
      </c>
      <c r="G3">
        <v>7106.88</v>
      </c>
      <c r="H3" s="1">
        <v>45090</v>
      </c>
      <c r="I3" t="s">
        <v>20</v>
      </c>
      <c r="J3" t="s">
        <v>15</v>
      </c>
      <c r="M3" s="2" t="s">
        <v>2</v>
      </c>
      <c r="N3" s="4" t="str">
        <f>VLOOKUP($N$1,Table1[],MATCH(M3,$M$1:$M$10,0),FALSE)</f>
        <v>Smartwatch</v>
      </c>
    </row>
    <row r="4" spans="1:15" x14ac:dyDescent="0.3">
      <c r="A4" t="s">
        <v>21</v>
      </c>
      <c r="B4" t="s">
        <v>22</v>
      </c>
      <c r="C4" t="s">
        <v>23</v>
      </c>
      <c r="D4" t="s">
        <v>19</v>
      </c>
      <c r="E4">
        <v>2</v>
      </c>
      <c r="F4">
        <v>1386.67</v>
      </c>
      <c r="G4">
        <v>2773.34</v>
      </c>
      <c r="H4" s="1">
        <v>45143</v>
      </c>
      <c r="I4" t="s">
        <v>24</v>
      </c>
      <c r="J4" t="s">
        <v>25</v>
      </c>
      <c r="M4" s="2" t="s">
        <v>3</v>
      </c>
      <c r="N4" s="4" t="str">
        <f>VLOOKUP($N$1,Table1[],MATCH(M4,$M$1:$M$10,0),FALSE)</f>
        <v>Accessories</v>
      </c>
      <c r="O4" s="7" t="s">
        <v>149</v>
      </c>
    </row>
    <row r="5" spans="1:15" x14ac:dyDescent="0.3">
      <c r="A5" t="s">
        <v>26</v>
      </c>
      <c r="B5" t="s">
        <v>11</v>
      </c>
      <c r="C5" t="s">
        <v>27</v>
      </c>
      <c r="D5" t="s">
        <v>13</v>
      </c>
      <c r="E5">
        <v>1</v>
      </c>
      <c r="F5">
        <v>1764.23</v>
      </c>
      <c r="G5">
        <v>1764.23</v>
      </c>
      <c r="H5" s="1">
        <v>45221</v>
      </c>
      <c r="I5" t="s">
        <v>28</v>
      </c>
      <c r="J5" t="s">
        <v>29</v>
      </c>
      <c r="M5" s="2" t="s">
        <v>4</v>
      </c>
      <c r="N5" s="4">
        <f>VLOOKUP($N$1,Table1[],MATCH(M5,$M$1:$M$10,0),FALSE)</f>
        <v>2</v>
      </c>
    </row>
    <row r="6" spans="1:15" x14ac:dyDescent="0.3">
      <c r="A6" t="s">
        <v>30</v>
      </c>
      <c r="B6" t="s">
        <v>31</v>
      </c>
      <c r="C6" t="s">
        <v>32</v>
      </c>
      <c r="D6" t="s">
        <v>13</v>
      </c>
      <c r="E6">
        <v>3</v>
      </c>
      <c r="F6">
        <v>208.17</v>
      </c>
      <c r="G6">
        <v>624.51</v>
      </c>
      <c r="H6" s="1">
        <v>45190</v>
      </c>
      <c r="I6" t="s">
        <v>33</v>
      </c>
      <c r="J6" t="s">
        <v>34</v>
      </c>
      <c r="M6" s="2" t="s">
        <v>5</v>
      </c>
      <c r="N6" s="4">
        <f>VLOOKUP($N$1,Table1[],MATCH(M6,$M$1:$M$10,0),FALSE)</f>
        <v>1386.67</v>
      </c>
    </row>
    <row r="7" spans="1:15" x14ac:dyDescent="0.3">
      <c r="A7" t="s">
        <v>35</v>
      </c>
      <c r="B7" t="s">
        <v>31</v>
      </c>
      <c r="C7" t="s">
        <v>36</v>
      </c>
      <c r="D7" t="s">
        <v>37</v>
      </c>
      <c r="E7">
        <v>2</v>
      </c>
      <c r="F7">
        <v>430.76</v>
      </c>
      <c r="G7">
        <v>861.52</v>
      </c>
      <c r="H7" s="1">
        <v>45083</v>
      </c>
      <c r="I7" t="s">
        <v>28</v>
      </c>
      <c r="J7" t="s">
        <v>25</v>
      </c>
      <c r="M7" s="2" t="s">
        <v>6</v>
      </c>
      <c r="N7" s="4">
        <f>VLOOKUP($N$1,Table1[],MATCH(M7,$M$1:$M$10,0),FALSE)</f>
        <v>2773.34</v>
      </c>
    </row>
    <row r="8" spans="1:15" x14ac:dyDescent="0.3">
      <c r="A8" t="s">
        <v>38</v>
      </c>
      <c r="B8" t="s">
        <v>39</v>
      </c>
      <c r="C8" t="s">
        <v>32</v>
      </c>
      <c r="D8" t="s">
        <v>37</v>
      </c>
      <c r="E8">
        <v>5</v>
      </c>
      <c r="F8">
        <v>1536.92</v>
      </c>
      <c r="G8">
        <v>7684.6</v>
      </c>
      <c r="H8" s="1">
        <v>45146</v>
      </c>
      <c r="I8" t="s">
        <v>40</v>
      </c>
      <c r="J8" t="s">
        <v>29</v>
      </c>
      <c r="M8" s="2" t="s">
        <v>7</v>
      </c>
      <c r="N8" s="4">
        <f>VLOOKUP($N$1,Table1[],MATCH(M8,$M$1:$M$10,0),FALSE)</f>
        <v>45143</v>
      </c>
    </row>
    <row r="9" spans="1:15" x14ac:dyDescent="0.3">
      <c r="A9" t="s">
        <v>41</v>
      </c>
      <c r="B9" t="s">
        <v>42</v>
      </c>
      <c r="C9" t="s">
        <v>43</v>
      </c>
      <c r="D9" t="s">
        <v>19</v>
      </c>
      <c r="E9">
        <v>3</v>
      </c>
      <c r="F9">
        <v>1074.24</v>
      </c>
      <c r="G9">
        <v>3222.72</v>
      </c>
      <c r="H9" s="1">
        <v>44993</v>
      </c>
      <c r="I9" t="s">
        <v>44</v>
      </c>
      <c r="J9" t="s">
        <v>29</v>
      </c>
      <c r="M9" s="2" t="s">
        <v>8</v>
      </c>
      <c r="N9" s="4" t="str">
        <f>VLOOKUP($N$1,Table1[],MATCH(M9,$M$1:$M$10,0),FALSE)</f>
        <v>Chicago</v>
      </c>
    </row>
    <row r="10" spans="1:15" x14ac:dyDescent="0.3">
      <c r="A10" t="s">
        <v>45</v>
      </c>
      <c r="B10" t="s">
        <v>46</v>
      </c>
      <c r="C10" t="s">
        <v>47</v>
      </c>
      <c r="D10" t="s">
        <v>48</v>
      </c>
      <c r="E10">
        <v>5</v>
      </c>
      <c r="F10">
        <v>826.56</v>
      </c>
      <c r="G10">
        <v>4132.8</v>
      </c>
      <c r="H10" s="1">
        <v>44966</v>
      </c>
      <c r="I10" t="s">
        <v>49</v>
      </c>
      <c r="J10" t="s">
        <v>29</v>
      </c>
      <c r="M10" s="2" t="s">
        <v>9</v>
      </c>
      <c r="N10" s="4" t="str">
        <f>VLOOKUP($N$1,Table1[],MATCH(M10,$M$1:$M$10,0),FALSE)</f>
        <v>Cash</v>
      </c>
    </row>
    <row r="11" spans="1:15" x14ac:dyDescent="0.3">
      <c r="A11" t="s">
        <v>50</v>
      </c>
      <c r="B11" t="s">
        <v>51</v>
      </c>
      <c r="C11" t="s">
        <v>47</v>
      </c>
      <c r="D11" t="s">
        <v>19</v>
      </c>
      <c r="E11">
        <v>4</v>
      </c>
      <c r="F11">
        <v>1962.32</v>
      </c>
      <c r="G11">
        <v>7849.28</v>
      </c>
      <c r="H11" s="1">
        <v>45041</v>
      </c>
      <c r="I11" t="s">
        <v>52</v>
      </c>
      <c r="J11" t="s">
        <v>25</v>
      </c>
    </row>
    <row r="12" spans="1:15" x14ac:dyDescent="0.3">
      <c r="A12" t="s">
        <v>53</v>
      </c>
      <c r="B12" t="s">
        <v>39</v>
      </c>
      <c r="C12" t="s">
        <v>23</v>
      </c>
      <c r="D12" t="s">
        <v>48</v>
      </c>
      <c r="E12">
        <v>3</v>
      </c>
      <c r="F12">
        <v>180.9</v>
      </c>
      <c r="G12">
        <v>542.70000000000005</v>
      </c>
      <c r="H12" s="1">
        <v>45197</v>
      </c>
      <c r="I12" t="s">
        <v>44</v>
      </c>
      <c r="J12" t="s">
        <v>29</v>
      </c>
      <c r="N12" s="8"/>
    </row>
    <row r="13" spans="1:15" x14ac:dyDescent="0.3">
      <c r="A13" t="s">
        <v>54</v>
      </c>
      <c r="B13" t="s">
        <v>51</v>
      </c>
      <c r="C13" t="s">
        <v>55</v>
      </c>
      <c r="D13" t="s">
        <v>48</v>
      </c>
      <c r="E13">
        <v>1</v>
      </c>
      <c r="F13">
        <v>1212.1199999999999</v>
      </c>
      <c r="G13">
        <v>1212.1199999999999</v>
      </c>
      <c r="H13" s="1">
        <v>45250</v>
      </c>
      <c r="I13" t="s">
        <v>44</v>
      </c>
      <c r="J13" t="s">
        <v>56</v>
      </c>
      <c r="M13" s="6"/>
    </row>
    <row r="14" spans="1:15" x14ac:dyDescent="0.3">
      <c r="A14" t="s">
        <v>57</v>
      </c>
      <c r="B14" t="s">
        <v>51</v>
      </c>
      <c r="C14" t="s">
        <v>32</v>
      </c>
      <c r="D14" t="s">
        <v>37</v>
      </c>
      <c r="E14">
        <v>5</v>
      </c>
      <c r="F14">
        <v>1640.05</v>
      </c>
      <c r="G14">
        <v>8200.25</v>
      </c>
      <c r="H14" s="1">
        <v>44974</v>
      </c>
      <c r="I14" t="s">
        <v>20</v>
      </c>
      <c r="J14" t="s">
        <v>56</v>
      </c>
    </row>
    <row r="15" spans="1:15" x14ac:dyDescent="0.3">
      <c r="A15" t="s">
        <v>58</v>
      </c>
      <c r="B15" t="s">
        <v>17</v>
      </c>
      <c r="C15" t="s">
        <v>55</v>
      </c>
      <c r="D15" t="s">
        <v>19</v>
      </c>
      <c r="E15">
        <v>4</v>
      </c>
      <c r="F15">
        <v>661.68</v>
      </c>
      <c r="G15">
        <v>2646.72</v>
      </c>
      <c r="H15" s="1">
        <v>45154</v>
      </c>
      <c r="I15" t="s">
        <v>44</v>
      </c>
      <c r="J15" t="s">
        <v>34</v>
      </c>
    </row>
    <row r="16" spans="1:15" x14ac:dyDescent="0.3">
      <c r="A16" t="s">
        <v>59</v>
      </c>
      <c r="B16" t="s">
        <v>31</v>
      </c>
      <c r="C16" t="s">
        <v>47</v>
      </c>
      <c r="D16" t="s">
        <v>19</v>
      </c>
      <c r="E16">
        <v>1</v>
      </c>
      <c r="F16">
        <v>108.47</v>
      </c>
      <c r="G16">
        <v>108.47</v>
      </c>
      <c r="H16" s="1">
        <v>45043</v>
      </c>
      <c r="I16" t="s">
        <v>52</v>
      </c>
      <c r="J16" t="s">
        <v>56</v>
      </c>
    </row>
    <row r="17" spans="1:10" x14ac:dyDescent="0.3">
      <c r="A17" t="s">
        <v>60</v>
      </c>
      <c r="B17" t="s">
        <v>46</v>
      </c>
      <c r="C17" t="s">
        <v>32</v>
      </c>
      <c r="D17" t="s">
        <v>13</v>
      </c>
      <c r="E17">
        <v>1</v>
      </c>
      <c r="F17">
        <v>1946.38</v>
      </c>
      <c r="G17">
        <v>1946.38</v>
      </c>
      <c r="H17" s="1">
        <v>45083</v>
      </c>
      <c r="I17" t="s">
        <v>24</v>
      </c>
      <c r="J17" t="s">
        <v>56</v>
      </c>
    </row>
    <row r="18" spans="1:10" x14ac:dyDescent="0.3">
      <c r="A18" t="s">
        <v>61</v>
      </c>
      <c r="B18" t="s">
        <v>39</v>
      </c>
      <c r="C18" t="s">
        <v>62</v>
      </c>
      <c r="D18" t="s">
        <v>13</v>
      </c>
      <c r="E18">
        <v>3</v>
      </c>
      <c r="F18">
        <v>1460.68</v>
      </c>
      <c r="G18">
        <v>4382.04</v>
      </c>
      <c r="H18" s="1">
        <v>45207</v>
      </c>
      <c r="I18" t="s">
        <v>63</v>
      </c>
      <c r="J18" t="s">
        <v>34</v>
      </c>
    </row>
    <row r="19" spans="1:10" x14ac:dyDescent="0.3">
      <c r="A19" t="s">
        <v>64</v>
      </c>
      <c r="B19" t="s">
        <v>42</v>
      </c>
      <c r="C19" t="s">
        <v>18</v>
      </c>
      <c r="D19" t="s">
        <v>48</v>
      </c>
      <c r="E19">
        <v>1</v>
      </c>
      <c r="F19">
        <v>1026.25</v>
      </c>
      <c r="G19">
        <v>1026.25</v>
      </c>
      <c r="H19" s="1">
        <v>45023</v>
      </c>
      <c r="I19" t="s">
        <v>44</v>
      </c>
      <c r="J19" t="s">
        <v>15</v>
      </c>
    </row>
    <row r="20" spans="1:10" x14ac:dyDescent="0.3">
      <c r="A20" t="s">
        <v>65</v>
      </c>
      <c r="B20" t="s">
        <v>51</v>
      </c>
      <c r="C20" t="s">
        <v>62</v>
      </c>
      <c r="D20" t="s">
        <v>19</v>
      </c>
      <c r="E20">
        <v>3</v>
      </c>
      <c r="F20">
        <v>1789.63</v>
      </c>
      <c r="G20">
        <v>5368.89</v>
      </c>
      <c r="H20" s="1">
        <v>45217</v>
      </c>
      <c r="I20" t="s">
        <v>40</v>
      </c>
      <c r="J20" t="s">
        <v>15</v>
      </c>
    </row>
    <row r="21" spans="1:10" x14ac:dyDescent="0.3">
      <c r="A21" t="s">
        <v>66</v>
      </c>
      <c r="B21" t="s">
        <v>67</v>
      </c>
      <c r="C21" t="s">
        <v>43</v>
      </c>
      <c r="D21" t="s">
        <v>48</v>
      </c>
      <c r="E21">
        <v>1</v>
      </c>
      <c r="F21">
        <v>1853.58</v>
      </c>
      <c r="G21">
        <v>1853.58</v>
      </c>
      <c r="H21" s="1">
        <v>45278</v>
      </c>
      <c r="I21" t="s">
        <v>49</v>
      </c>
      <c r="J21" t="s">
        <v>56</v>
      </c>
    </row>
    <row r="22" spans="1:10" x14ac:dyDescent="0.3">
      <c r="A22" t="s">
        <v>68</v>
      </c>
      <c r="B22" t="s">
        <v>39</v>
      </c>
      <c r="C22" t="s">
        <v>27</v>
      </c>
      <c r="D22" t="s">
        <v>13</v>
      </c>
      <c r="E22">
        <v>5</v>
      </c>
      <c r="F22">
        <v>1027.02</v>
      </c>
      <c r="G22">
        <v>5135.1000000000004</v>
      </c>
      <c r="H22" s="1">
        <v>45135</v>
      </c>
      <c r="I22" t="s">
        <v>33</v>
      </c>
      <c r="J22" t="s">
        <v>29</v>
      </c>
    </row>
    <row r="23" spans="1:10" x14ac:dyDescent="0.3">
      <c r="A23" t="s">
        <v>69</v>
      </c>
      <c r="B23" t="s">
        <v>39</v>
      </c>
      <c r="C23" t="s">
        <v>36</v>
      </c>
      <c r="D23" t="s">
        <v>48</v>
      </c>
      <c r="E23">
        <v>4</v>
      </c>
      <c r="F23">
        <v>1822.09</v>
      </c>
      <c r="G23">
        <v>7288.36</v>
      </c>
      <c r="H23" s="1">
        <v>44994</v>
      </c>
      <c r="I23" t="s">
        <v>52</v>
      </c>
      <c r="J23" t="s">
        <v>25</v>
      </c>
    </row>
    <row r="24" spans="1:10" x14ac:dyDescent="0.3">
      <c r="A24" t="s">
        <v>70</v>
      </c>
      <c r="B24" t="s">
        <v>11</v>
      </c>
      <c r="C24" t="s">
        <v>18</v>
      </c>
      <c r="D24" t="s">
        <v>13</v>
      </c>
      <c r="E24">
        <v>5</v>
      </c>
      <c r="F24">
        <v>1335.44</v>
      </c>
      <c r="G24">
        <v>6677.2</v>
      </c>
      <c r="H24" s="1">
        <v>45188</v>
      </c>
      <c r="I24" t="s">
        <v>33</v>
      </c>
      <c r="J24" t="s">
        <v>15</v>
      </c>
    </row>
    <row r="25" spans="1:10" x14ac:dyDescent="0.3">
      <c r="A25" t="s">
        <v>71</v>
      </c>
      <c r="B25" t="s">
        <v>42</v>
      </c>
      <c r="C25" t="s">
        <v>23</v>
      </c>
      <c r="D25" t="s">
        <v>13</v>
      </c>
      <c r="E25">
        <v>2</v>
      </c>
      <c r="F25">
        <v>509.36</v>
      </c>
      <c r="G25">
        <v>1018.72</v>
      </c>
      <c r="H25" s="1">
        <v>45254</v>
      </c>
      <c r="I25" t="s">
        <v>24</v>
      </c>
      <c r="J25" t="s">
        <v>56</v>
      </c>
    </row>
    <row r="26" spans="1:10" x14ac:dyDescent="0.3">
      <c r="A26" t="s">
        <v>72</v>
      </c>
      <c r="B26" t="s">
        <v>67</v>
      </c>
      <c r="C26" t="s">
        <v>36</v>
      </c>
      <c r="D26" t="s">
        <v>37</v>
      </c>
      <c r="E26">
        <v>4</v>
      </c>
      <c r="F26">
        <v>311.7</v>
      </c>
      <c r="G26">
        <v>1246.8</v>
      </c>
      <c r="H26" s="1">
        <v>45166</v>
      </c>
      <c r="I26" t="s">
        <v>14</v>
      </c>
      <c r="J26" t="s">
        <v>25</v>
      </c>
    </row>
    <row r="27" spans="1:10" x14ac:dyDescent="0.3">
      <c r="A27" t="s">
        <v>73</v>
      </c>
      <c r="B27" t="s">
        <v>31</v>
      </c>
      <c r="C27" t="s">
        <v>27</v>
      </c>
      <c r="D27" t="s">
        <v>19</v>
      </c>
      <c r="E27">
        <v>2</v>
      </c>
      <c r="F27">
        <v>217.83</v>
      </c>
      <c r="G27">
        <v>435.66</v>
      </c>
      <c r="H27" s="1">
        <v>45238</v>
      </c>
      <c r="I27" t="s">
        <v>20</v>
      </c>
      <c r="J27" t="s">
        <v>15</v>
      </c>
    </row>
    <row r="28" spans="1:10" x14ac:dyDescent="0.3">
      <c r="A28" t="s">
        <v>74</v>
      </c>
      <c r="B28" t="s">
        <v>75</v>
      </c>
      <c r="C28" t="s">
        <v>32</v>
      </c>
      <c r="D28" t="s">
        <v>48</v>
      </c>
      <c r="E28">
        <v>2</v>
      </c>
      <c r="F28">
        <v>1852.63</v>
      </c>
      <c r="G28">
        <v>3705.26</v>
      </c>
      <c r="H28" s="1">
        <v>45085</v>
      </c>
      <c r="I28" t="s">
        <v>63</v>
      </c>
      <c r="J28" t="s">
        <v>15</v>
      </c>
    </row>
    <row r="29" spans="1:10" x14ac:dyDescent="0.3">
      <c r="A29" t="s">
        <v>76</v>
      </c>
      <c r="B29" t="s">
        <v>67</v>
      </c>
      <c r="C29" t="s">
        <v>43</v>
      </c>
      <c r="D29" t="s">
        <v>37</v>
      </c>
      <c r="E29">
        <v>3</v>
      </c>
      <c r="F29">
        <v>848.43</v>
      </c>
      <c r="G29">
        <v>2545.29</v>
      </c>
      <c r="H29" s="1">
        <v>45185</v>
      </c>
      <c r="I29" t="s">
        <v>44</v>
      </c>
      <c r="J29" t="s">
        <v>25</v>
      </c>
    </row>
    <row r="30" spans="1:10" x14ac:dyDescent="0.3">
      <c r="A30" t="s">
        <v>77</v>
      </c>
      <c r="B30" t="s">
        <v>22</v>
      </c>
      <c r="C30" t="s">
        <v>18</v>
      </c>
      <c r="D30" t="s">
        <v>48</v>
      </c>
      <c r="E30">
        <v>3</v>
      </c>
      <c r="F30">
        <v>95.13</v>
      </c>
      <c r="G30">
        <v>285.39</v>
      </c>
      <c r="H30" s="1">
        <v>45050</v>
      </c>
      <c r="I30" t="s">
        <v>52</v>
      </c>
      <c r="J30" t="s">
        <v>34</v>
      </c>
    </row>
    <row r="31" spans="1:10" x14ac:dyDescent="0.3">
      <c r="A31" t="s">
        <v>78</v>
      </c>
      <c r="B31" t="s">
        <v>75</v>
      </c>
      <c r="C31" t="s">
        <v>23</v>
      </c>
      <c r="D31" t="s">
        <v>13</v>
      </c>
      <c r="E31">
        <v>4</v>
      </c>
      <c r="F31">
        <v>757.46</v>
      </c>
      <c r="G31">
        <v>3029.84</v>
      </c>
      <c r="H31" s="1">
        <v>45271</v>
      </c>
      <c r="I31" t="s">
        <v>28</v>
      </c>
      <c r="J31" t="s">
        <v>34</v>
      </c>
    </row>
    <row r="32" spans="1:10" x14ac:dyDescent="0.3">
      <c r="A32" t="s">
        <v>79</v>
      </c>
      <c r="B32" t="s">
        <v>11</v>
      </c>
      <c r="C32" t="s">
        <v>62</v>
      </c>
      <c r="D32" t="s">
        <v>37</v>
      </c>
      <c r="E32">
        <v>1</v>
      </c>
      <c r="F32">
        <v>1735.35</v>
      </c>
      <c r="G32">
        <v>1735.35</v>
      </c>
      <c r="H32" s="1">
        <v>45016</v>
      </c>
      <c r="I32" t="s">
        <v>52</v>
      </c>
      <c r="J32" t="s">
        <v>56</v>
      </c>
    </row>
    <row r="33" spans="1:10" x14ac:dyDescent="0.3">
      <c r="A33" t="s">
        <v>80</v>
      </c>
      <c r="B33" t="s">
        <v>42</v>
      </c>
      <c r="C33" t="s">
        <v>32</v>
      </c>
      <c r="D33" t="s">
        <v>37</v>
      </c>
      <c r="E33">
        <v>1</v>
      </c>
      <c r="F33">
        <v>465</v>
      </c>
      <c r="G33">
        <v>465</v>
      </c>
      <c r="H33" s="1">
        <v>45031</v>
      </c>
      <c r="I33" t="s">
        <v>44</v>
      </c>
      <c r="J33" t="s">
        <v>15</v>
      </c>
    </row>
    <row r="34" spans="1:10" x14ac:dyDescent="0.3">
      <c r="A34" t="s">
        <v>81</v>
      </c>
      <c r="B34" t="s">
        <v>46</v>
      </c>
      <c r="C34" t="s">
        <v>47</v>
      </c>
      <c r="D34" t="s">
        <v>37</v>
      </c>
      <c r="E34">
        <v>2</v>
      </c>
      <c r="F34">
        <v>1917.44</v>
      </c>
      <c r="G34">
        <v>3834.88</v>
      </c>
      <c r="H34" s="1">
        <v>45289</v>
      </c>
      <c r="I34" t="s">
        <v>52</v>
      </c>
      <c r="J34" t="s">
        <v>15</v>
      </c>
    </row>
    <row r="35" spans="1:10" x14ac:dyDescent="0.3">
      <c r="A35" t="s">
        <v>82</v>
      </c>
      <c r="B35" t="s">
        <v>42</v>
      </c>
      <c r="C35" t="s">
        <v>12</v>
      </c>
      <c r="D35" t="s">
        <v>13</v>
      </c>
      <c r="E35">
        <v>3</v>
      </c>
      <c r="F35">
        <v>759.18</v>
      </c>
      <c r="G35">
        <v>2277.54</v>
      </c>
      <c r="H35" s="1">
        <v>45190</v>
      </c>
      <c r="I35" t="s">
        <v>44</v>
      </c>
      <c r="J35" t="s">
        <v>15</v>
      </c>
    </row>
    <row r="36" spans="1:10" x14ac:dyDescent="0.3">
      <c r="A36" t="s">
        <v>83</v>
      </c>
      <c r="B36" t="s">
        <v>42</v>
      </c>
      <c r="C36" t="s">
        <v>47</v>
      </c>
      <c r="D36" t="s">
        <v>19</v>
      </c>
      <c r="E36">
        <v>2</v>
      </c>
      <c r="F36">
        <v>1971.69</v>
      </c>
      <c r="G36">
        <v>3943.38</v>
      </c>
      <c r="H36" s="1">
        <v>44927</v>
      </c>
      <c r="I36" t="s">
        <v>24</v>
      </c>
      <c r="J36" t="s">
        <v>25</v>
      </c>
    </row>
    <row r="37" spans="1:10" x14ac:dyDescent="0.3">
      <c r="A37" t="s">
        <v>84</v>
      </c>
      <c r="B37" t="s">
        <v>75</v>
      </c>
      <c r="C37" t="s">
        <v>18</v>
      </c>
      <c r="D37" t="s">
        <v>37</v>
      </c>
      <c r="E37">
        <v>1</v>
      </c>
      <c r="F37">
        <v>909.81</v>
      </c>
      <c r="G37">
        <v>909.81</v>
      </c>
      <c r="H37" s="1">
        <v>45253</v>
      </c>
      <c r="I37" t="s">
        <v>24</v>
      </c>
      <c r="J37" t="s">
        <v>15</v>
      </c>
    </row>
    <row r="38" spans="1:10" x14ac:dyDescent="0.3">
      <c r="A38" t="s">
        <v>85</v>
      </c>
      <c r="B38" t="s">
        <v>42</v>
      </c>
      <c r="C38" t="s">
        <v>27</v>
      </c>
      <c r="D38" t="s">
        <v>19</v>
      </c>
      <c r="E38">
        <v>3</v>
      </c>
      <c r="F38">
        <v>1755.62</v>
      </c>
      <c r="G38">
        <v>5266.86</v>
      </c>
      <c r="H38" s="1">
        <v>45129</v>
      </c>
      <c r="I38" t="s">
        <v>24</v>
      </c>
      <c r="J38" t="s">
        <v>25</v>
      </c>
    </row>
    <row r="39" spans="1:10" x14ac:dyDescent="0.3">
      <c r="A39" t="s">
        <v>86</v>
      </c>
      <c r="B39" t="s">
        <v>17</v>
      </c>
      <c r="C39" t="s">
        <v>43</v>
      </c>
      <c r="D39" t="s">
        <v>13</v>
      </c>
      <c r="E39">
        <v>1</v>
      </c>
      <c r="F39">
        <v>1671.48</v>
      </c>
      <c r="G39">
        <v>1671.48</v>
      </c>
      <c r="H39" s="1">
        <v>45074</v>
      </c>
      <c r="I39" t="s">
        <v>44</v>
      </c>
      <c r="J39" t="s">
        <v>29</v>
      </c>
    </row>
    <row r="40" spans="1:10" x14ac:dyDescent="0.3">
      <c r="A40" t="s">
        <v>87</v>
      </c>
      <c r="B40" t="s">
        <v>51</v>
      </c>
      <c r="C40" t="s">
        <v>18</v>
      </c>
      <c r="D40" t="s">
        <v>19</v>
      </c>
      <c r="E40">
        <v>2</v>
      </c>
      <c r="F40">
        <v>417.63</v>
      </c>
      <c r="G40">
        <v>835.26</v>
      </c>
      <c r="H40" s="1">
        <v>44933</v>
      </c>
      <c r="I40" t="s">
        <v>49</v>
      </c>
      <c r="J40" t="s">
        <v>56</v>
      </c>
    </row>
    <row r="41" spans="1:10" x14ac:dyDescent="0.3">
      <c r="A41" t="s">
        <v>88</v>
      </c>
      <c r="B41" t="s">
        <v>67</v>
      </c>
      <c r="C41" t="s">
        <v>62</v>
      </c>
      <c r="D41" t="s">
        <v>19</v>
      </c>
      <c r="E41">
        <v>1</v>
      </c>
      <c r="F41">
        <v>654.05999999999995</v>
      </c>
      <c r="G41">
        <v>654.05999999999995</v>
      </c>
      <c r="H41" s="1">
        <v>45221</v>
      </c>
      <c r="I41" t="s">
        <v>40</v>
      </c>
      <c r="J41" t="s">
        <v>29</v>
      </c>
    </row>
    <row r="42" spans="1:10" x14ac:dyDescent="0.3">
      <c r="A42" t="s">
        <v>89</v>
      </c>
      <c r="B42" t="s">
        <v>51</v>
      </c>
      <c r="C42" t="s">
        <v>55</v>
      </c>
      <c r="D42" t="s">
        <v>48</v>
      </c>
      <c r="E42">
        <v>3</v>
      </c>
      <c r="F42">
        <v>1293.75</v>
      </c>
      <c r="G42">
        <v>3881.25</v>
      </c>
      <c r="H42" s="1">
        <v>45015</v>
      </c>
      <c r="I42" t="s">
        <v>40</v>
      </c>
      <c r="J42" t="s">
        <v>25</v>
      </c>
    </row>
    <row r="43" spans="1:10" x14ac:dyDescent="0.3">
      <c r="A43" t="s">
        <v>90</v>
      </c>
      <c r="B43" t="s">
        <v>22</v>
      </c>
      <c r="C43" t="s">
        <v>62</v>
      </c>
      <c r="D43" t="s">
        <v>48</v>
      </c>
      <c r="E43">
        <v>5</v>
      </c>
      <c r="F43">
        <v>1542.85</v>
      </c>
      <c r="G43">
        <v>7714.25</v>
      </c>
      <c r="H43" s="1">
        <v>45017</v>
      </c>
      <c r="I43" t="s">
        <v>49</v>
      </c>
      <c r="J43" t="s">
        <v>25</v>
      </c>
    </row>
    <row r="44" spans="1:10" x14ac:dyDescent="0.3">
      <c r="A44" t="s">
        <v>91</v>
      </c>
      <c r="B44" t="s">
        <v>46</v>
      </c>
      <c r="C44" t="s">
        <v>36</v>
      </c>
      <c r="D44" t="s">
        <v>19</v>
      </c>
      <c r="E44">
        <v>4</v>
      </c>
      <c r="F44">
        <v>813.42</v>
      </c>
      <c r="G44">
        <v>3253.68</v>
      </c>
      <c r="H44" s="1">
        <v>45259</v>
      </c>
      <c r="I44" t="s">
        <v>20</v>
      </c>
      <c r="J44" t="s">
        <v>25</v>
      </c>
    </row>
    <row r="45" spans="1:10" x14ac:dyDescent="0.3">
      <c r="A45" t="s">
        <v>92</v>
      </c>
      <c r="B45" t="s">
        <v>31</v>
      </c>
      <c r="C45" t="s">
        <v>12</v>
      </c>
      <c r="D45" t="s">
        <v>48</v>
      </c>
      <c r="E45">
        <v>1</v>
      </c>
      <c r="F45">
        <v>242.19</v>
      </c>
      <c r="G45">
        <v>242.19</v>
      </c>
      <c r="H45" s="1">
        <v>45213</v>
      </c>
      <c r="I45" t="s">
        <v>24</v>
      </c>
      <c r="J45" t="s">
        <v>29</v>
      </c>
    </row>
    <row r="46" spans="1:10" x14ac:dyDescent="0.3">
      <c r="A46" t="s">
        <v>93</v>
      </c>
      <c r="B46" t="s">
        <v>39</v>
      </c>
      <c r="C46" t="s">
        <v>23</v>
      </c>
      <c r="D46" t="s">
        <v>48</v>
      </c>
      <c r="E46">
        <v>5</v>
      </c>
      <c r="F46">
        <v>1813.23</v>
      </c>
      <c r="G46">
        <v>9066.15</v>
      </c>
      <c r="H46" s="1">
        <v>45244</v>
      </c>
      <c r="I46" t="s">
        <v>40</v>
      </c>
      <c r="J46" t="s">
        <v>34</v>
      </c>
    </row>
    <row r="47" spans="1:10" x14ac:dyDescent="0.3">
      <c r="A47" t="s">
        <v>94</v>
      </c>
      <c r="B47" t="s">
        <v>22</v>
      </c>
      <c r="C47" t="s">
        <v>55</v>
      </c>
      <c r="D47" t="s">
        <v>13</v>
      </c>
      <c r="E47">
        <v>2</v>
      </c>
      <c r="F47">
        <v>703.89</v>
      </c>
      <c r="G47">
        <v>1407.78</v>
      </c>
      <c r="H47" s="1">
        <v>44930</v>
      </c>
      <c r="I47" t="s">
        <v>14</v>
      </c>
      <c r="J47" t="s">
        <v>15</v>
      </c>
    </row>
    <row r="48" spans="1:10" x14ac:dyDescent="0.3">
      <c r="A48" t="s">
        <v>95</v>
      </c>
      <c r="B48" t="s">
        <v>42</v>
      </c>
      <c r="C48" t="s">
        <v>32</v>
      </c>
      <c r="D48" t="s">
        <v>19</v>
      </c>
      <c r="E48">
        <v>5</v>
      </c>
      <c r="F48">
        <v>1639.76</v>
      </c>
      <c r="G48">
        <v>8198.7999999999993</v>
      </c>
      <c r="H48" s="1">
        <v>45186</v>
      </c>
      <c r="I48" t="s">
        <v>28</v>
      </c>
      <c r="J48" t="s">
        <v>29</v>
      </c>
    </row>
    <row r="49" spans="1:10" x14ac:dyDescent="0.3">
      <c r="A49" t="s">
        <v>96</v>
      </c>
      <c r="B49" t="s">
        <v>39</v>
      </c>
      <c r="C49" t="s">
        <v>43</v>
      </c>
      <c r="D49" t="s">
        <v>13</v>
      </c>
      <c r="E49">
        <v>2</v>
      </c>
      <c r="F49">
        <v>1938.5</v>
      </c>
      <c r="G49">
        <v>3877</v>
      </c>
      <c r="H49" s="1">
        <v>45115</v>
      </c>
      <c r="I49" t="s">
        <v>40</v>
      </c>
      <c r="J49" t="s">
        <v>34</v>
      </c>
    </row>
    <row r="50" spans="1:10" x14ac:dyDescent="0.3">
      <c r="A50" t="s">
        <v>97</v>
      </c>
      <c r="B50" t="s">
        <v>42</v>
      </c>
      <c r="C50" t="s">
        <v>27</v>
      </c>
      <c r="D50" t="s">
        <v>13</v>
      </c>
      <c r="E50">
        <v>1</v>
      </c>
      <c r="F50">
        <v>817.24</v>
      </c>
      <c r="G50">
        <v>817.24</v>
      </c>
      <c r="H50" s="1">
        <v>45132</v>
      </c>
      <c r="I50" t="s">
        <v>28</v>
      </c>
      <c r="J50" t="s">
        <v>34</v>
      </c>
    </row>
    <row r="51" spans="1:10" x14ac:dyDescent="0.3">
      <c r="A51" t="s">
        <v>98</v>
      </c>
      <c r="B51" t="s">
        <v>75</v>
      </c>
      <c r="C51" t="s">
        <v>18</v>
      </c>
      <c r="D51" t="s">
        <v>48</v>
      </c>
      <c r="E51">
        <v>1</v>
      </c>
      <c r="F51">
        <v>315.54000000000002</v>
      </c>
      <c r="G51">
        <v>315.54000000000002</v>
      </c>
      <c r="H51" s="1">
        <v>45211</v>
      </c>
      <c r="I51" t="s">
        <v>52</v>
      </c>
      <c r="J51" t="s">
        <v>34</v>
      </c>
    </row>
    <row r="52" spans="1:10" x14ac:dyDescent="0.3">
      <c r="A52" t="s">
        <v>99</v>
      </c>
      <c r="B52" t="s">
        <v>17</v>
      </c>
      <c r="C52" t="s">
        <v>47</v>
      </c>
      <c r="D52" t="s">
        <v>13</v>
      </c>
      <c r="E52">
        <v>4</v>
      </c>
      <c r="F52">
        <v>1531.31</v>
      </c>
      <c r="G52">
        <v>6125.24</v>
      </c>
      <c r="H52" s="1">
        <v>45035</v>
      </c>
      <c r="I52" t="s">
        <v>52</v>
      </c>
      <c r="J52" t="s">
        <v>25</v>
      </c>
    </row>
    <row r="53" spans="1:10" x14ac:dyDescent="0.3">
      <c r="A53" t="s">
        <v>100</v>
      </c>
      <c r="B53" t="s">
        <v>22</v>
      </c>
      <c r="C53" t="s">
        <v>27</v>
      </c>
      <c r="D53" t="s">
        <v>37</v>
      </c>
      <c r="E53">
        <v>3</v>
      </c>
      <c r="F53">
        <v>723.96</v>
      </c>
      <c r="G53">
        <v>2171.88</v>
      </c>
      <c r="H53" s="1">
        <v>45168</v>
      </c>
      <c r="I53" t="s">
        <v>52</v>
      </c>
      <c r="J53" t="s">
        <v>29</v>
      </c>
    </row>
    <row r="54" spans="1:10" x14ac:dyDescent="0.3">
      <c r="A54" t="s">
        <v>101</v>
      </c>
      <c r="B54" t="s">
        <v>75</v>
      </c>
      <c r="C54" t="s">
        <v>43</v>
      </c>
      <c r="D54" t="s">
        <v>48</v>
      </c>
      <c r="E54">
        <v>5</v>
      </c>
      <c r="F54">
        <v>1762.01</v>
      </c>
      <c r="G54">
        <v>8810.0499999999993</v>
      </c>
      <c r="H54" s="1">
        <v>45021</v>
      </c>
      <c r="I54" t="s">
        <v>24</v>
      </c>
      <c r="J54" t="s">
        <v>15</v>
      </c>
    </row>
    <row r="55" spans="1:10" x14ac:dyDescent="0.3">
      <c r="A55" t="s">
        <v>102</v>
      </c>
      <c r="B55" t="s">
        <v>51</v>
      </c>
      <c r="C55" t="s">
        <v>36</v>
      </c>
      <c r="D55" t="s">
        <v>37</v>
      </c>
      <c r="E55">
        <v>1</v>
      </c>
      <c r="F55">
        <v>1445.02</v>
      </c>
      <c r="G55">
        <v>1445.02</v>
      </c>
      <c r="H55" s="1">
        <v>45147</v>
      </c>
      <c r="I55" t="s">
        <v>44</v>
      </c>
      <c r="J55" t="s">
        <v>15</v>
      </c>
    </row>
    <row r="56" spans="1:10" x14ac:dyDescent="0.3">
      <c r="A56" t="s">
        <v>103</v>
      </c>
      <c r="B56" t="s">
        <v>11</v>
      </c>
      <c r="C56" t="s">
        <v>32</v>
      </c>
      <c r="D56" t="s">
        <v>13</v>
      </c>
      <c r="E56">
        <v>4</v>
      </c>
      <c r="F56">
        <v>752.48</v>
      </c>
      <c r="G56">
        <v>3009.92</v>
      </c>
      <c r="H56" s="1">
        <v>45078</v>
      </c>
      <c r="I56" t="s">
        <v>63</v>
      </c>
      <c r="J56" t="s">
        <v>34</v>
      </c>
    </row>
    <row r="57" spans="1:10" x14ac:dyDescent="0.3">
      <c r="A57" t="s">
        <v>104</v>
      </c>
      <c r="B57" t="s">
        <v>31</v>
      </c>
      <c r="C57" t="s">
        <v>27</v>
      </c>
      <c r="D57" t="s">
        <v>19</v>
      </c>
      <c r="E57">
        <v>5</v>
      </c>
      <c r="F57">
        <v>465.12</v>
      </c>
      <c r="G57">
        <v>2325.6</v>
      </c>
      <c r="H57" s="1">
        <v>45238</v>
      </c>
      <c r="I57" t="s">
        <v>49</v>
      </c>
      <c r="J57" t="s">
        <v>56</v>
      </c>
    </row>
    <row r="58" spans="1:10" x14ac:dyDescent="0.3">
      <c r="A58" t="s">
        <v>105</v>
      </c>
      <c r="B58" t="s">
        <v>11</v>
      </c>
      <c r="C58" t="s">
        <v>18</v>
      </c>
      <c r="D58" t="s">
        <v>48</v>
      </c>
      <c r="E58">
        <v>1</v>
      </c>
      <c r="F58">
        <v>1883.48</v>
      </c>
      <c r="G58">
        <v>1883.48</v>
      </c>
      <c r="H58" s="1">
        <v>45066</v>
      </c>
      <c r="I58" t="s">
        <v>40</v>
      </c>
      <c r="J58" t="s">
        <v>56</v>
      </c>
    </row>
    <row r="59" spans="1:10" x14ac:dyDescent="0.3">
      <c r="A59" t="s">
        <v>106</v>
      </c>
      <c r="B59" t="s">
        <v>11</v>
      </c>
      <c r="C59" t="s">
        <v>62</v>
      </c>
      <c r="D59" t="s">
        <v>19</v>
      </c>
      <c r="E59">
        <v>4</v>
      </c>
      <c r="F59">
        <v>390.1</v>
      </c>
      <c r="G59">
        <v>1560.4</v>
      </c>
      <c r="H59" s="1">
        <v>45253</v>
      </c>
      <c r="I59" t="s">
        <v>28</v>
      </c>
      <c r="J59" t="s">
        <v>56</v>
      </c>
    </row>
    <row r="60" spans="1:10" x14ac:dyDescent="0.3">
      <c r="A60" t="s">
        <v>107</v>
      </c>
      <c r="B60" t="s">
        <v>51</v>
      </c>
      <c r="C60" t="s">
        <v>55</v>
      </c>
      <c r="D60" t="s">
        <v>19</v>
      </c>
      <c r="E60">
        <v>4</v>
      </c>
      <c r="F60">
        <v>513.95000000000005</v>
      </c>
      <c r="G60">
        <v>2055.8000000000002</v>
      </c>
      <c r="H60" s="1">
        <v>44958</v>
      </c>
      <c r="I60" t="s">
        <v>33</v>
      </c>
      <c r="J60" t="s">
        <v>56</v>
      </c>
    </row>
    <row r="61" spans="1:10" x14ac:dyDescent="0.3">
      <c r="A61" t="s">
        <v>108</v>
      </c>
      <c r="B61" t="s">
        <v>11</v>
      </c>
      <c r="C61" t="s">
        <v>62</v>
      </c>
      <c r="D61" t="s">
        <v>13</v>
      </c>
      <c r="E61">
        <v>3</v>
      </c>
      <c r="F61">
        <v>1039.69</v>
      </c>
      <c r="G61">
        <v>3119.07</v>
      </c>
      <c r="H61" s="1">
        <v>45285</v>
      </c>
      <c r="I61" t="s">
        <v>44</v>
      </c>
      <c r="J61" t="s">
        <v>34</v>
      </c>
    </row>
    <row r="62" spans="1:10" x14ac:dyDescent="0.3">
      <c r="A62" t="s">
        <v>109</v>
      </c>
      <c r="B62" t="s">
        <v>51</v>
      </c>
      <c r="C62" t="s">
        <v>32</v>
      </c>
      <c r="D62" t="s">
        <v>19</v>
      </c>
      <c r="E62">
        <v>2</v>
      </c>
      <c r="F62">
        <v>724.1</v>
      </c>
      <c r="G62">
        <v>1448.2</v>
      </c>
      <c r="H62" s="1">
        <v>45003</v>
      </c>
      <c r="I62" t="s">
        <v>63</v>
      </c>
      <c r="J62" t="s">
        <v>29</v>
      </c>
    </row>
    <row r="63" spans="1:10" x14ac:dyDescent="0.3">
      <c r="A63" t="s">
        <v>110</v>
      </c>
      <c r="B63" t="s">
        <v>11</v>
      </c>
      <c r="C63" t="s">
        <v>36</v>
      </c>
      <c r="D63" t="s">
        <v>13</v>
      </c>
      <c r="E63">
        <v>1</v>
      </c>
      <c r="F63">
        <v>852.19</v>
      </c>
      <c r="G63">
        <v>852.19</v>
      </c>
      <c r="H63" s="1">
        <v>45094</v>
      </c>
      <c r="I63" t="s">
        <v>40</v>
      </c>
      <c r="J63" t="s">
        <v>15</v>
      </c>
    </row>
    <row r="64" spans="1:10" x14ac:dyDescent="0.3">
      <c r="A64" t="s">
        <v>111</v>
      </c>
      <c r="B64" t="s">
        <v>11</v>
      </c>
      <c r="C64" t="s">
        <v>43</v>
      </c>
      <c r="D64" t="s">
        <v>13</v>
      </c>
      <c r="E64">
        <v>4</v>
      </c>
      <c r="F64">
        <v>311.83</v>
      </c>
      <c r="G64">
        <v>1247.32</v>
      </c>
      <c r="H64" s="1">
        <v>45048</v>
      </c>
      <c r="I64" t="s">
        <v>24</v>
      </c>
      <c r="J64" t="s">
        <v>29</v>
      </c>
    </row>
    <row r="65" spans="1:10" x14ac:dyDescent="0.3">
      <c r="A65" t="s">
        <v>112</v>
      </c>
      <c r="B65" t="s">
        <v>46</v>
      </c>
      <c r="C65" t="s">
        <v>55</v>
      </c>
      <c r="D65" t="s">
        <v>37</v>
      </c>
      <c r="E65">
        <v>4</v>
      </c>
      <c r="F65">
        <v>1726.95</v>
      </c>
      <c r="G65">
        <v>6907.8</v>
      </c>
      <c r="H65" s="1">
        <v>45147</v>
      </c>
      <c r="I65" t="s">
        <v>63</v>
      </c>
      <c r="J65" t="s">
        <v>25</v>
      </c>
    </row>
    <row r="66" spans="1:10" x14ac:dyDescent="0.3">
      <c r="A66" t="s">
        <v>113</v>
      </c>
      <c r="B66" t="s">
        <v>22</v>
      </c>
      <c r="C66" t="s">
        <v>27</v>
      </c>
      <c r="D66" t="s">
        <v>13</v>
      </c>
      <c r="E66">
        <v>2</v>
      </c>
      <c r="F66">
        <v>788.09</v>
      </c>
      <c r="G66">
        <v>1576.18</v>
      </c>
      <c r="H66" s="1">
        <v>45049</v>
      </c>
      <c r="I66" t="s">
        <v>14</v>
      </c>
      <c r="J66" t="s">
        <v>15</v>
      </c>
    </row>
    <row r="67" spans="1:10" x14ac:dyDescent="0.3">
      <c r="A67" t="s">
        <v>114</v>
      </c>
      <c r="B67" t="s">
        <v>75</v>
      </c>
      <c r="C67" t="s">
        <v>43</v>
      </c>
      <c r="D67" t="s">
        <v>19</v>
      </c>
      <c r="E67">
        <v>1</v>
      </c>
      <c r="F67">
        <v>1873.08</v>
      </c>
      <c r="G67">
        <v>1873.08</v>
      </c>
      <c r="H67" s="1">
        <v>45067</v>
      </c>
      <c r="I67" t="s">
        <v>14</v>
      </c>
      <c r="J67" t="s">
        <v>29</v>
      </c>
    </row>
    <row r="68" spans="1:10" x14ac:dyDescent="0.3">
      <c r="A68" t="s">
        <v>115</v>
      </c>
      <c r="B68" t="s">
        <v>42</v>
      </c>
      <c r="C68" t="s">
        <v>12</v>
      </c>
      <c r="D68" t="s">
        <v>19</v>
      </c>
      <c r="E68">
        <v>5</v>
      </c>
      <c r="F68">
        <v>1410.85</v>
      </c>
      <c r="G68">
        <v>7054.25</v>
      </c>
      <c r="H68" s="1">
        <v>44982</v>
      </c>
      <c r="I68" t="s">
        <v>28</v>
      </c>
      <c r="J68" t="s">
        <v>29</v>
      </c>
    </row>
    <row r="69" spans="1:10" x14ac:dyDescent="0.3">
      <c r="A69" t="s">
        <v>116</v>
      </c>
      <c r="B69" t="s">
        <v>31</v>
      </c>
      <c r="C69" t="s">
        <v>55</v>
      </c>
      <c r="D69" t="s">
        <v>13</v>
      </c>
      <c r="E69">
        <v>5</v>
      </c>
      <c r="F69">
        <v>1162.6099999999999</v>
      </c>
      <c r="G69">
        <v>5813.05</v>
      </c>
      <c r="H69" s="1">
        <v>44966</v>
      </c>
      <c r="I69" t="s">
        <v>40</v>
      </c>
      <c r="J69" t="s">
        <v>34</v>
      </c>
    </row>
    <row r="70" spans="1:10" x14ac:dyDescent="0.3">
      <c r="A70" t="s">
        <v>117</v>
      </c>
      <c r="B70" t="s">
        <v>39</v>
      </c>
      <c r="C70" t="s">
        <v>36</v>
      </c>
      <c r="D70" t="s">
        <v>37</v>
      </c>
      <c r="E70">
        <v>3</v>
      </c>
      <c r="F70">
        <v>1719.03</v>
      </c>
      <c r="G70">
        <v>5157.09</v>
      </c>
      <c r="H70" s="1">
        <v>44945</v>
      </c>
      <c r="I70" t="s">
        <v>20</v>
      </c>
      <c r="J70" t="s">
        <v>34</v>
      </c>
    </row>
    <row r="71" spans="1:10" x14ac:dyDescent="0.3">
      <c r="A71" t="s">
        <v>118</v>
      </c>
      <c r="B71" t="s">
        <v>17</v>
      </c>
      <c r="C71" t="s">
        <v>12</v>
      </c>
      <c r="D71" t="s">
        <v>48</v>
      </c>
      <c r="E71">
        <v>5</v>
      </c>
      <c r="F71">
        <v>1752.37</v>
      </c>
      <c r="G71">
        <v>8761.85</v>
      </c>
      <c r="H71" s="1">
        <v>45284</v>
      </c>
      <c r="I71" t="s">
        <v>14</v>
      </c>
      <c r="J71" t="s">
        <v>34</v>
      </c>
    </row>
    <row r="72" spans="1:10" x14ac:dyDescent="0.3">
      <c r="A72" t="s">
        <v>119</v>
      </c>
      <c r="B72" t="s">
        <v>22</v>
      </c>
      <c r="C72" t="s">
        <v>12</v>
      </c>
      <c r="D72" t="s">
        <v>48</v>
      </c>
      <c r="E72">
        <v>1</v>
      </c>
      <c r="F72">
        <v>266.83999999999997</v>
      </c>
      <c r="G72">
        <v>266.83999999999997</v>
      </c>
      <c r="H72" s="1">
        <v>44938</v>
      </c>
      <c r="I72" t="s">
        <v>20</v>
      </c>
      <c r="J72" t="s">
        <v>25</v>
      </c>
    </row>
    <row r="73" spans="1:10" x14ac:dyDescent="0.3">
      <c r="A73" t="s">
        <v>120</v>
      </c>
      <c r="B73" t="s">
        <v>46</v>
      </c>
      <c r="C73" t="s">
        <v>55</v>
      </c>
      <c r="D73" t="s">
        <v>48</v>
      </c>
      <c r="E73">
        <v>1</v>
      </c>
      <c r="F73">
        <v>1536.93</v>
      </c>
      <c r="G73">
        <v>1536.93</v>
      </c>
      <c r="H73" s="1">
        <v>44953</v>
      </c>
      <c r="I73" t="s">
        <v>20</v>
      </c>
      <c r="J73" t="s">
        <v>15</v>
      </c>
    </row>
    <row r="74" spans="1:10" x14ac:dyDescent="0.3">
      <c r="A74" t="s">
        <v>121</v>
      </c>
      <c r="B74" t="s">
        <v>31</v>
      </c>
      <c r="C74" t="s">
        <v>32</v>
      </c>
      <c r="D74" t="s">
        <v>19</v>
      </c>
      <c r="E74">
        <v>2</v>
      </c>
      <c r="F74">
        <v>916.24</v>
      </c>
      <c r="G74">
        <v>1832.48</v>
      </c>
      <c r="H74" s="1">
        <v>45052</v>
      </c>
      <c r="I74" t="s">
        <v>33</v>
      </c>
      <c r="J74" t="s">
        <v>56</v>
      </c>
    </row>
    <row r="75" spans="1:10" x14ac:dyDescent="0.3">
      <c r="A75" t="s">
        <v>122</v>
      </c>
      <c r="B75" t="s">
        <v>46</v>
      </c>
      <c r="C75" t="s">
        <v>27</v>
      </c>
      <c r="D75" t="s">
        <v>13</v>
      </c>
      <c r="E75">
        <v>4</v>
      </c>
      <c r="F75">
        <v>1544.8</v>
      </c>
      <c r="G75">
        <v>6179.2</v>
      </c>
      <c r="H75" s="1">
        <v>45030</v>
      </c>
      <c r="I75" t="s">
        <v>28</v>
      </c>
      <c r="J75" t="s">
        <v>56</v>
      </c>
    </row>
    <row r="76" spans="1:10" x14ac:dyDescent="0.3">
      <c r="A76" t="s">
        <v>123</v>
      </c>
      <c r="B76" t="s">
        <v>51</v>
      </c>
      <c r="C76" t="s">
        <v>55</v>
      </c>
      <c r="D76" t="s">
        <v>19</v>
      </c>
      <c r="E76">
        <v>2</v>
      </c>
      <c r="F76">
        <v>212.43</v>
      </c>
      <c r="G76">
        <v>424.86</v>
      </c>
      <c r="H76" s="1">
        <v>44949</v>
      </c>
      <c r="I76" t="s">
        <v>40</v>
      </c>
      <c r="J76" t="s">
        <v>34</v>
      </c>
    </row>
    <row r="77" spans="1:10" x14ac:dyDescent="0.3">
      <c r="A77" t="s">
        <v>124</v>
      </c>
      <c r="B77" t="s">
        <v>22</v>
      </c>
      <c r="C77" t="s">
        <v>47</v>
      </c>
      <c r="D77" t="s">
        <v>48</v>
      </c>
      <c r="E77">
        <v>1</v>
      </c>
      <c r="F77">
        <v>856.05</v>
      </c>
      <c r="G77">
        <v>856.05</v>
      </c>
      <c r="H77" s="1">
        <v>45039</v>
      </c>
      <c r="I77" t="s">
        <v>14</v>
      </c>
      <c r="J77" t="s">
        <v>56</v>
      </c>
    </row>
    <row r="78" spans="1:10" x14ac:dyDescent="0.3">
      <c r="A78" t="s">
        <v>125</v>
      </c>
      <c r="B78" t="s">
        <v>46</v>
      </c>
      <c r="C78" t="s">
        <v>62</v>
      </c>
      <c r="D78" t="s">
        <v>48</v>
      </c>
      <c r="E78">
        <v>5</v>
      </c>
      <c r="F78">
        <v>296.07</v>
      </c>
      <c r="G78">
        <v>1480.35</v>
      </c>
      <c r="H78" s="1">
        <v>45200</v>
      </c>
      <c r="I78" t="s">
        <v>44</v>
      </c>
      <c r="J78" t="s">
        <v>15</v>
      </c>
    </row>
    <row r="79" spans="1:10" x14ac:dyDescent="0.3">
      <c r="A79" t="s">
        <v>126</v>
      </c>
      <c r="B79" t="s">
        <v>42</v>
      </c>
      <c r="C79" t="s">
        <v>55</v>
      </c>
      <c r="D79" t="s">
        <v>13</v>
      </c>
      <c r="E79">
        <v>5</v>
      </c>
      <c r="F79">
        <v>612.96</v>
      </c>
      <c r="G79">
        <v>3064.8</v>
      </c>
      <c r="H79" s="1">
        <v>45142</v>
      </c>
      <c r="I79" t="s">
        <v>40</v>
      </c>
      <c r="J79" t="s">
        <v>15</v>
      </c>
    </row>
    <row r="80" spans="1:10" x14ac:dyDescent="0.3">
      <c r="A80" t="s">
        <v>127</v>
      </c>
      <c r="B80" t="s">
        <v>46</v>
      </c>
      <c r="C80" t="s">
        <v>27</v>
      </c>
      <c r="D80" t="s">
        <v>48</v>
      </c>
      <c r="E80">
        <v>3</v>
      </c>
      <c r="F80">
        <v>1822.12</v>
      </c>
      <c r="G80">
        <v>5466.36</v>
      </c>
      <c r="H80" s="1">
        <v>44952</v>
      </c>
      <c r="I80" t="s">
        <v>14</v>
      </c>
      <c r="J80" t="s">
        <v>25</v>
      </c>
    </row>
    <row r="81" spans="1:10" x14ac:dyDescent="0.3">
      <c r="A81" t="s">
        <v>128</v>
      </c>
      <c r="B81" t="s">
        <v>51</v>
      </c>
      <c r="C81" t="s">
        <v>18</v>
      </c>
      <c r="D81" t="s">
        <v>48</v>
      </c>
      <c r="E81">
        <v>1</v>
      </c>
      <c r="F81">
        <v>987.86</v>
      </c>
      <c r="G81">
        <v>987.86</v>
      </c>
      <c r="H81" s="1">
        <v>45062</v>
      </c>
      <c r="I81" t="s">
        <v>33</v>
      </c>
      <c r="J81" t="s">
        <v>29</v>
      </c>
    </row>
    <row r="82" spans="1:10" x14ac:dyDescent="0.3">
      <c r="A82" t="s">
        <v>129</v>
      </c>
      <c r="B82" t="s">
        <v>75</v>
      </c>
      <c r="C82" t="s">
        <v>18</v>
      </c>
      <c r="D82" t="s">
        <v>48</v>
      </c>
      <c r="E82">
        <v>1</v>
      </c>
      <c r="F82">
        <v>897.37</v>
      </c>
      <c r="G82">
        <v>897.37</v>
      </c>
      <c r="H82" s="1">
        <v>45276</v>
      </c>
      <c r="I82" t="s">
        <v>44</v>
      </c>
      <c r="J82" t="s">
        <v>25</v>
      </c>
    </row>
    <row r="83" spans="1:10" x14ac:dyDescent="0.3">
      <c r="A83" t="s">
        <v>130</v>
      </c>
      <c r="B83" t="s">
        <v>42</v>
      </c>
      <c r="C83" t="s">
        <v>27</v>
      </c>
      <c r="D83" t="s">
        <v>19</v>
      </c>
      <c r="E83">
        <v>2</v>
      </c>
      <c r="F83">
        <v>105.47</v>
      </c>
      <c r="G83">
        <v>210.94</v>
      </c>
      <c r="H83" s="1">
        <v>44967</v>
      </c>
      <c r="I83" t="s">
        <v>20</v>
      </c>
      <c r="J83" t="s">
        <v>15</v>
      </c>
    </row>
    <row r="84" spans="1:10" x14ac:dyDescent="0.3">
      <c r="A84" t="s">
        <v>131</v>
      </c>
      <c r="B84" t="s">
        <v>22</v>
      </c>
      <c r="C84" t="s">
        <v>36</v>
      </c>
      <c r="D84" t="s">
        <v>13</v>
      </c>
      <c r="E84">
        <v>3</v>
      </c>
      <c r="F84">
        <v>1573.04</v>
      </c>
      <c r="G84">
        <v>4719.12</v>
      </c>
      <c r="H84" s="1">
        <v>44943</v>
      </c>
      <c r="I84" t="s">
        <v>14</v>
      </c>
      <c r="J84" t="s">
        <v>25</v>
      </c>
    </row>
    <row r="85" spans="1:10" x14ac:dyDescent="0.3">
      <c r="A85" t="s">
        <v>132</v>
      </c>
      <c r="B85" t="s">
        <v>39</v>
      </c>
      <c r="C85" t="s">
        <v>62</v>
      </c>
      <c r="D85" t="s">
        <v>48</v>
      </c>
      <c r="E85">
        <v>3</v>
      </c>
      <c r="F85">
        <v>1396.33</v>
      </c>
      <c r="G85">
        <v>4188.99</v>
      </c>
      <c r="H85" s="1">
        <v>45154</v>
      </c>
      <c r="I85" t="s">
        <v>14</v>
      </c>
      <c r="J85" t="s">
        <v>15</v>
      </c>
    </row>
    <row r="86" spans="1:10" x14ac:dyDescent="0.3">
      <c r="A86" t="s">
        <v>133</v>
      </c>
      <c r="B86" t="s">
        <v>22</v>
      </c>
      <c r="C86" t="s">
        <v>47</v>
      </c>
      <c r="D86" t="s">
        <v>48</v>
      </c>
      <c r="E86">
        <v>2</v>
      </c>
      <c r="F86">
        <v>931.9</v>
      </c>
      <c r="G86">
        <v>1863.8</v>
      </c>
      <c r="H86" s="1">
        <v>44956</v>
      </c>
      <c r="I86" t="s">
        <v>44</v>
      </c>
      <c r="J86" t="s">
        <v>15</v>
      </c>
    </row>
    <row r="87" spans="1:10" x14ac:dyDescent="0.3">
      <c r="A87" t="s">
        <v>134</v>
      </c>
      <c r="B87" t="s">
        <v>51</v>
      </c>
      <c r="C87" t="s">
        <v>62</v>
      </c>
      <c r="D87" t="s">
        <v>13</v>
      </c>
      <c r="E87">
        <v>3</v>
      </c>
      <c r="F87">
        <v>113.16</v>
      </c>
      <c r="G87">
        <v>339.48</v>
      </c>
      <c r="H87" s="1">
        <v>45125</v>
      </c>
      <c r="I87" t="s">
        <v>49</v>
      </c>
      <c r="J87" t="s">
        <v>15</v>
      </c>
    </row>
    <row r="88" spans="1:10" x14ac:dyDescent="0.3">
      <c r="A88" t="s">
        <v>135</v>
      </c>
      <c r="B88" t="s">
        <v>51</v>
      </c>
      <c r="C88" t="s">
        <v>23</v>
      </c>
      <c r="D88" t="s">
        <v>13</v>
      </c>
      <c r="E88">
        <v>2</v>
      </c>
      <c r="F88">
        <v>1565.58</v>
      </c>
      <c r="G88">
        <v>3131.16</v>
      </c>
      <c r="H88" s="1">
        <v>45021</v>
      </c>
      <c r="I88" t="s">
        <v>20</v>
      </c>
      <c r="J88" t="s">
        <v>15</v>
      </c>
    </row>
    <row r="89" spans="1:10" x14ac:dyDescent="0.3">
      <c r="A89" t="s">
        <v>136</v>
      </c>
      <c r="B89" t="s">
        <v>67</v>
      </c>
      <c r="C89" t="s">
        <v>27</v>
      </c>
      <c r="D89" t="s">
        <v>37</v>
      </c>
      <c r="E89">
        <v>5</v>
      </c>
      <c r="F89">
        <v>1922.13</v>
      </c>
      <c r="G89">
        <v>9610.65</v>
      </c>
      <c r="H89" s="1">
        <v>45002</v>
      </c>
      <c r="I89" t="s">
        <v>20</v>
      </c>
      <c r="J89" t="s">
        <v>29</v>
      </c>
    </row>
    <row r="90" spans="1:10" x14ac:dyDescent="0.3">
      <c r="A90" t="s">
        <v>137</v>
      </c>
      <c r="B90" t="s">
        <v>42</v>
      </c>
      <c r="C90" t="s">
        <v>36</v>
      </c>
      <c r="D90" t="s">
        <v>37</v>
      </c>
      <c r="E90">
        <v>1</v>
      </c>
      <c r="F90">
        <v>778.25</v>
      </c>
      <c r="G90">
        <v>778.25</v>
      </c>
      <c r="H90" s="1">
        <v>44937</v>
      </c>
      <c r="I90" t="s">
        <v>33</v>
      </c>
      <c r="J90" t="s">
        <v>15</v>
      </c>
    </row>
    <row r="91" spans="1:10" x14ac:dyDescent="0.3">
      <c r="A91" t="s">
        <v>138</v>
      </c>
      <c r="B91" t="s">
        <v>46</v>
      </c>
      <c r="C91" t="s">
        <v>55</v>
      </c>
      <c r="D91" t="s">
        <v>37</v>
      </c>
      <c r="E91">
        <v>1</v>
      </c>
      <c r="F91">
        <v>1587.63</v>
      </c>
      <c r="G91">
        <v>1587.63</v>
      </c>
      <c r="H91" s="1">
        <v>45199</v>
      </c>
      <c r="I91" t="s">
        <v>40</v>
      </c>
      <c r="J91" t="s">
        <v>34</v>
      </c>
    </row>
    <row r="92" spans="1:10" x14ac:dyDescent="0.3">
      <c r="A92" t="s">
        <v>139</v>
      </c>
      <c r="B92" t="s">
        <v>46</v>
      </c>
      <c r="C92" t="s">
        <v>36</v>
      </c>
      <c r="D92" t="s">
        <v>13</v>
      </c>
      <c r="E92">
        <v>5</v>
      </c>
      <c r="F92">
        <v>648.5</v>
      </c>
      <c r="G92">
        <v>3242.5</v>
      </c>
      <c r="H92" s="1">
        <v>45081</v>
      </c>
      <c r="I92" t="s">
        <v>14</v>
      </c>
      <c r="J92" t="s">
        <v>15</v>
      </c>
    </row>
    <row r="93" spans="1:10" x14ac:dyDescent="0.3">
      <c r="A93" t="s">
        <v>140</v>
      </c>
      <c r="B93" t="s">
        <v>17</v>
      </c>
      <c r="C93" t="s">
        <v>12</v>
      </c>
      <c r="D93" t="s">
        <v>48</v>
      </c>
      <c r="E93">
        <v>1</v>
      </c>
      <c r="F93">
        <v>1404.77</v>
      </c>
      <c r="G93">
        <v>1404.77</v>
      </c>
      <c r="H93" s="1">
        <v>45061</v>
      </c>
      <c r="I93" t="s">
        <v>44</v>
      </c>
      <c r="J93" t="s">
        <v>15</v>
      </c>
    </row>
    <row r="94" spans="1:10" x14ac:dyDescent="0.3">
      <c r="A94" t="s">
        <v>141</v>
      </c>
      <c r="B94" t="s">
        <v>17</v>
      </c>
      <c r="C94" t="s">
        <v>36</v>
      </c>
      <c r="D94" t="s">
        <v>37</v>
      </c>
      <c r="E94">
        <v>2</v>
      </c>
      <c r="F94">
        <v>1128.8</v>
      </c>
      <c r="G94">
        <v>2257.6</v>
      </c>
      <c r="H94" s="1">
        <v>44992</v>
      </c>
      <c r="I94" t="s">
        <v>20</v>
      </c>
      <c r="J94" t="s">
        <v>25</v>
      </c>
    </row>
    <row r="95" spans="1:10" x14ac:dyDescent="0.3">
      <c r="A95" t="s">
        <v>142</v>
      </c>
      <c r="B95" t="s">
        <v>46</v>
      </c>
      <c r="C95" t="s">
        <v>47</v>
      </c>
      <c r="D95" t="s">
        <v>13</v>
      </c>
      <c r="E95">
        <v>2</v>
      </c>
      <c r="F95">
        <v>1175.95</v>
      </c>
      <c r="G95">
        <v>2351.9</v>
      </c>
      <c r="H95" s="1">
        <v>45065</v>
      </c>
      <c r="I95" t="s">
        <v>49</v>
      </c>
      <c r="J95" t="s">
        <v>25</v>
      </c>
    </row>
    <row r="96" spans="1:10" x14ac:dyDescent="0.3">
      <c r="A96" t="s">
        <v>143</v>
      </c>
      <c r="B96" t="s">
        <v>67</v>
      </c>
      <c r="C96" t="s">
        <v>32</v>
      </c>
      <c r="D96" t="s">
        <v>13</v>
      </c>
      <c r="E96">
        <v>5</v>
      </c>
      <c r="F96">
        <v>1381.3</v>
      </c>
      <c r="G96">
        <v>6906.5</v>
      </c>
      <c r="H96" s="1">
        <v>44985</v>
      </c>
      <c r="I96" t="s">
        <v>44</v>
      </c>
      <c r="J96" t="s">
        <v>29</v>
      </c>
    </row>
    <row r="97" spans="1:10" x14ac:dyDescent="0.3">
      <c r="A97" t="s">
        <v>144</v>
      </c>
      <c r="B97" t="s">
        <v>51</v>
      </c>
      <c r="C97" t="s">
        <v>18</v>
      </c>
      <c r="D97" t="s">
        <v>13</v>
      </c>
      <c r="E97">
        <v>2</v>
      </c>
      <c r="F97">
        <v>671.78</v>
      </c>
      <c r="G97">
        <v>1343.56</v>
      </c>
      <c r="H97" s="1">
        <v>45098</v>
      </c>
      <c r="I97" t="s">
        <v>33</v>
      </c>
      <c r="J97" t="s">
        <v>15</v>
      </c>
    </row>
    <row r="98" spans="1:10" x14ac:dyDescent="0.3">
      <c r="A98" t="s">
        <v>145</v>
      </c>
      <c r="B98" t="s">
        <v>22</v>
      </c>
      <c r="C98" t="s">
        <v>27</v>
      </c>
      <c r="D98" t="s">
        <v>13</v>
      </c>
      <c r="E98">
        <v>2</v>
      </c>
      <c r="F98">
        <v>394.11</v>
      </c>
      <c r="G98">
        <v>788.22</v>
      </c>
      <c r="H98" s="1">
        <v>45014</v>
      </c>
      <c r="I98" t="s">
        <v>24</v>
      </c>
      <c r="J98" t="s">
        <v>34</v>
      </c>
    </row>
    <row r="99" spans="1:10" x14ac:dyDescent="0.3">
      <c r="A99" t="s">
        <v>146</v>
      </c>
      <c r="B99" t="s">
        <v>17</v>
      </c>
      <c r="C99" t="s">
        <v>12</v>
      </c>
      <c r="D99" t="s">
        <v>13</v>
      </c>
      <c r="E99">
        <v>5</v>
      </c>
      <c r="F99">
        <v>772.37</v>
      </c>
      <c r="G99">
        <v>3861.85</v>
      </c>
      <c r="H99" s="1">
        <v>45111</v>
      </c>
      <c r="I99" t="s">
        <v>52</v>
      </c>
      <c r="J99" t="s">
        <v>56</v>
      </c>
    </row>
    <row r="100" spans="1:10" x14ac:dyDescent="0.3">
      <c r="A100" t="s">
        <v>147</v>
      </c>
      <c r="B100" t="s">
        <v>42</v>
      </c>
      <c r="C100" t="s">
        <v>55</v>
      </c>
      <c r="D100" t="s">
        <v>48</v>
      </c>
      <c r="E100">
        <v>1</v>
      </c>
      <c r="F100">
        <v>1263.1500000000001</v>
      </c>
      <c r="G100">
        <v>1263.1500000000001</v>
      </c>
      <c r="H100" s="1">
        <v>44928</v>
      </c>
      <c r="I100" t="s">
        <v>20</v>
      </c>
      <c r="J100" t="s">
        <v>29</v>
      </c>
    </row>
    <row r="101" spans="1:10" x14ac:dyDescent="0.3">
      <c r="A101" t="s">
        <v>148</v>
      </c>
      <c r="B101" t="s">
        <v>11</v>
      </c>
      <c r="C101" t="s">
        <v>18</v>
      </c>
      <c r="D101" t="s">
        <v>37</v>
      </c>
      <c r="E101">
        <v>1</v>
      </c>
      <c r="F101">
        <v>1552.86</v>
      </c>
      <c r="G101">
        <v>1552.86</v>
      </c>
      <c r="H101" s="1">
        <v>45085</v>
      </c>
      <c r="I101" t="s">
        <v>24</v>
      </c>
      <c r="J101" t="s">
        <v>29</v>
      </c>
    </row>
  </sheetData>
  <conditionalFormatting sqref="M20">
    <cfRule type="cellIs" dxfId="6" priority="4" operator="greaterThan">
      <formula>10000</formula>
    </cfRule>
    <cfRule type="top10" dxfId="5" priority="3" percent="1" rank="10"/>
  </conditionalFormatting>
  <conditionalFormatting sqref="A2:J101">
    <cfRule type="top10" dxfId="4" priority="2" rank="10"/>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tabSelected="1" workbookViewId="0">
      <selection activeCell="O20" sqref="O20"/>
    </sheetView>
  </sheetViews>
  <sheetFormatPr defaultRowHeight="14.4" x14ac:dyDescent="0.3"/>
  <cols>
    <col min="1" max="1" width="18.77734375" customWidth="1"/>
    <col min="2" max="2" width="15.5546875" customWidth="1"/>
    <col min="3" max="3" width="15.33203125" customWidth="1"/>
    <col min="4" max="4" width="12" customWidth="1"/>
    <col min="5" max="5" width="14.77734375" customWidth="1"/>
    <col min="6" max="6" width="9.77734375" customWidth="1"/>
    <col min="7" max="7" width="11.44140625" customWidth="1"/>
    <col min="8" max="8" width="12.44140625" customWidth="1"/>
    <col min="9" max="9" width="11.5546875" customWidth="1"/>
    <col min="10" max="10" width="10.6640625" customWidth="1"/>
    <col min="11" max="12" width="10.77734375" customWidth="1"/>
    <col min="13" max="13" width="10.6640625" customWidth="1"/>
    <col min="14" max="14" width="10.77734375" customWidth="1"/>
    <col min="15" max="15" width="10.6640625" customWidth="1"/>
    <col min="16" max="16" width="10.77734375" customWidth="1"/>
    <col min="17" max="18" width="8" bestFit="1" customWidth="1"/>
    <col min="19" max="19" width="11.44140625" bestFit="1" customWidth="1"/>
    <col min="20" max="20" width="10.6640625" bestFit="1" customWidth="1"/>
    <col min="21" max="21" width="10.77734375" bestFit="1" customWidth="1"/>
    <col min="22" max="22" width="14.77734375" bestFit="1" customWidth="1"/>
    <col min="23" max="23" width="12.77734375" bestFit="1" customWidth="1"/>
    <col min="24" max="24" width="13.88671875" bestFit="1" customWidth="1"/>
    <col min="25" max="25" width="13.5546875" bestFit="1" customWidth="1"/>
    <col min="26" max="26" width="12.21875" customWidth="1"/>
    <col min="27" max="27" width="10.33203125" customWidth="1"/>
    <col min="28" max="28" width="10.6640625" bestFit="1" customWidth="1"/>
    <col min="29" max="29" width="13.6640625" bestFit="1" customWidth="1"/>
    <col min="30" max="30" width="12.6640625" bestFit="1" customWidth="1"/>
    <col min="31" max="31" width="10.88671875" bestFit="1" customWidth="1"/>
    <col min="32" max="32" width="11.6640625" bestFit="1" customWidth="1"/>
    <col min="33" max="33" width="12.44140625" customWidth="1"/>
    <col min="34" max="34" width="12.77734375" bestFit="1" customWidth="1"/>
    <col min="35" max="35" width="13.88671875" bestFit="1" customWidth="1"/>
    <col min="36" max="36" width="13.5546875" bestFit="1" customWidth="1"/>
    <col min="37" max="37" width="12.21875" customWidth="1"/>
    <col min="38" max="38" width="10.33203125" customWidth="1"/>
    <col min="39" max="39" width="10.6640625" customWidth="1"/>
    <col min="40" max="40" width="13.6640625" customWidth="1"/>
    <col min="41" max="41" width="12.6640625" customWidth="1"/>
    <col min="42" max="42" width="10.88671875" customWidth="1"/>
    <col min="43" max="43" width="11.6640625" customWidth="1"/>
    <col min="44" max="44" width="10.6640625" customWidth="1"/>
    <col min="45" max="45" width="10.77734375" bestFit="1" customWidth="1"/>
    <col min="46" max="46" width="10" customWidth="1"/>
    <col min="47" max="48" width="8" customWidth="1"/>
    <col min="49" max="49" width="10.88671875" bestFit="1" customWidth="1"/>
    <col min="50" max="50" width="10.77734375" bestFit="1" customWidth="1"/>
  </cols>
  <sheetData>
    <row r="1" spans="1:11" x14ac:dyDescent="0.3">
      <c r="A1" s="9" t="s">
        <v>9</v>
      </c>
      <c r="B1" t="s">
        <v>154</v>
      </c>
    </row>
    <row r="2" spans="1:11" x14ac:dyDescent="0.3">
      <c r="A2" s="9" t="s">
        <v>5</v>
      </c>
      <c r="B2" t="s">
        <v>154</v>
      </c>
    </row>
    <row r="3" spans="1:11" x14ac:dyDescent="0.3">
      <c r="A3" s="9" t="s">
        <v>8</v>
      </c>
      <c r="B3" t="s">
        <v>63</v>
      </c>
    </row>
    <row r="5" spans="1:11" x14ac:dyDescent="0.3">
      <c r="A5" s="9" t="s">
        <v>152</v>
      </c>
      <c r="B5" s="9" t="s">
        <v>153</v>
      </c>
    </row>
    <row r="6" spans="1:11" x14ac:dyDescent="0.3">
      <c r="B6" t="s">
        <v>19</v>
      </c>
      <c r="C6" t="s">
        <v>155</v>
      </c>
      <c r="D6" t="s">
        <v>48</v>
      </c>
      <c r="E6" t="s">
        <v>156</v>
      </c>
      <c r="F6" t="s">
        <v>13</v>
      </c>
      <c r="H6" t="s">
        <v>157</v>
      </c>
      <c r="I6" t="s">
        <v>37</v>
      </c>
      <c r="J6" t="s">
        <v>158</v>
      </c>
      <c r="K6" t="s">
        <v>151</v>
      </c>
    </row>
    <row r="7" spans="1:11" x14ac:dyDescent="0.3">
      <c r="A7" s="9" t="s">
        <v>150</v>
      </c>
      <c r="B7" t="s">
        <v>32</v>
      </c>
      <c r="D7" t="s">
        <v>32</v>
      </c>
      <c r="F7" t="s">
        <v>62</v>
      </c>
      <c r="G7" t="s">
        <v>32</v>
      </c>
      <c r="I7" t="s">
        <v>55</v>
      </c>
    </row>
    <row r="8" spans="1:11" x14ac:dyDescent="0.3">
      <c r="A8" s="10" t="s">
        <v>46</v>
      </c>
      <c r="B8" s="11"/>
      <c r="C8" s="11"/>
      <c r="D8" s="11"/>
      <c r="E8" s="11"/>
      <c r="F8" s="11"/>
      <c r="G8" s="11"/>
      <c r="H8" s="11"/>
      <c r="I8" s="11">
        <v>6907.8</v>
      </c>
      <c r="J8" s="11">
        <v>6907.8</v>
      </c>
      <c r="K8" s="11">
        <v>6907.8</v>
      </c>
    </row>
    <row r="9" spans="1:11" x14ac:dyDescent="0.3">
      <c r="A9" s="10" t="s">
        <v>51</v>
      </c>
      <c r="B9" s="11">
        <v>1448.2</v>
      </c>
      <c r="C9" s="11">
        <v>1448.2</v>
      </c>
      <c r="D9" s="11"/>
      <c r="E9" s="11"/>
      <c r="F9" s="11"/>
      <c r="G9" s="11"/>
      <c r="H9" s="11"/>
      <c r="I9" s="11"/>
      <c r="J9" s="11"/>
      <c r="K9" s="11">
        <v>1448.2</v>
      </c>
    </row>
    <row r="10" spans="1:11" x14ac:dyDescent="0.3">
      <c r="A10" s="10" t="s">
        <v>39</v>
      </c>
      <c r="B10" s="11"/>
      <c r="C10" s="11"/>
      <c r="D10" s="11"/>
      <c r="E10" s="11"/>
      <c r="F10" s="11">
        <v>4382.04</v>
      </c>
      <c r="G10" s="11"/>
      <c r="H10" s="11">
        <v>4382.04</v>
      </c>
      <c r="I10" s="11"/>
      <c r="J10" s="11"/>
      <c r="K10" s="11">
        <v>4382.04</v>
      </c>
    </row>
    <row r="11" spans="1:11" x14ac:dyDescent="0.3">
      <c r="A11" s="10" t="s">
        <v>11</v>
      </c>
      <c r="B11" s="11"/>
      <c r="C11" s="11"/>
      <c r="D11" s="11"/>
      <c r="E11" s="11"/>
      <c r="F11" s="11"/>
      <c r="G11" s="11">
        <v>3009.92</v>
      </c>
      <c r="H11" s="11">
        <v>3009.92</v>
      </c>
      <c r="I11" s="11"/>
      <c r="J11" s="11"/>
      <c r="K11" s="11">
        <v>3009.92</v>
      </c>
    </row>
    <row r="12" spans="1:11" x14ac:dyDescent="0.3">
      <c r="A12" s="10" t="s">
        <v>75</v>
      </c>
      <c r="B12" s="11"/>
      <c r="C12" s="11"/>
      <c r="D12" s="11">
        <v>3705.26</v>
      </c>
      <c r="E12" s="11">
        <v>3705.26</v>
      </c>
      <c r="F12" s="11"/>
      <c r="G12" s="11"/>
      <c r="H12" s="11"/>
      <c r="I12" s="11"/>
      <c r="J12" s="11"/>
      <c r="K12" s="11">
        <v>3705.26</v>
      </c>
    </row>
    <row r="13" spans="1:11" x14ac:dyDescent="0.3">
      <c r="A13" s="10" t="s">
        <v>151</v>
      </c>
      <c r="B13" s="11">
        <v>1448.2</v>
      </c>
      <c r="C13" s="11">
        <v>1448.2</v>
      </c>
      <c r="D13" s="11">
        <v>3705.26</v>
      </c>
      <c r="E13" s="11">
        <v>3705.26</v>
      </c>
      <c r="F13" s="11">
        <v>4382.04</v>
      </c>
      <c r="G13" s="11">
        <v>3009.92</v>
      </c>
      <c r="H13" s="11">
        <v>7391.96</v>
      </c>
      <c r="I13" s="11">
        <v>6907.8</v>
      </c>
      <c r="J13" s="11">
        <v>6907.8</v>
      </c>
      <c r="K13" s="11">
        <v>19453.22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PURNIMA DEWANGAN</dc:creator>
  <cp:lastModifiedBy>PURNIMA DEWANGAN</cp:lastModifiedBy>
  <dcterms:created xsi:type="dcterms:W3CDTF">2026-02-16T04:18:00Z</dcterms:created>
  <dcterms:modified xsi:type="dcterms:W3CDTF">2026-02-16T13:09:44Z</dcterms:modified>
</cp:coreProperties>
</file>